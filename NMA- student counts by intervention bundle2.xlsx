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b\Documents\Career\freelance\IRG\assignments\network meta-analysis\network-meta-analysis\"/>
    </mc:Choice>
  </mc:AlternateContent>
  <xr:revisionPtr revIDLastSave="0" documentId="8_{45FAA5E8-4B21-4DE1-8576-1CCF98BC6B8D}" xr6:coauthVersionLast="47" xr6:coauthVersionMax="47" xr10:uidLastSave="{00000000-0000-0000-0000-000000000000}"/>
  <bookViews>
    <workbookView xWindow="-120" yWindow="-120" windowWidth="29040" windowHeight="15720" activeTab="2" xr2:uid="{4269D852-3C15-4686-92AB-61DB45E99CAC}"/>
  </bookViews>
  <sheets>
    <sheet name="Whole numbers_full_contrast" sheetId="1" r:id="rId1"/>
    <sheet name="WN full2" sheetId="7" r:id="rId2"/>
    <sheet name="RN full2" sheetId="8" r:id="rId3"/>
    <sheet name="Whole numbers_d" sheetId="6" r:id="rId4"/>
    <sheet name="Whole_numbers_ex" sheetId="4" r:id="rId5"/>
    <sheet name="Rational numbers_full_contrast" sheetId="2" r:id="rId6"/>
    <sheet name="Rational numbers_ex" sheetId="5" r:id="rId7"/>
  </sheets>
  <definedNames>
    <definedName name="_xlnm._FilterDatabase" localSheetId="5" hidden="1">'Rational numbers_full_contrast'!$A$1:$K$50</definedName>
    <definedName name="_xlnm._FilterDatabase" localSheetId="2" hidden="1">'RN full2'!$A$1:$G$49</definedName>
    <definedName name="_xlnm._FilterDatabase" localSheetId="0" hidden="1">'Whole numbers_full_contrast'!$A$1:$G$109</definedName>
    <definedName name="_xlnm._FilterDatabase" localSheetId="1" hidden="1">'WN full2'!$A$1:$G$110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2" i="1"/>
  <c r="I48" i="2" l="1"/>
  <c r="I46" i="2"/>
  <c r="I30" i="2"/>
  <c r="I27" i="2"/>
  <c r="I24" i="2"/>
  <c r="I22" i="2"/>
  <c r="I18" i="2"/>
  <c r="I6" i="2"/>
  <c r="I5" i="2"/>
  <c r="I49" i="2"/>
  <c r="I47" i="2"/>
  <c r="I45" i="2"/>
  <c r="I43" i="2"/>
  <c r="I39" i="2"/>
  <c r="I37" i="2"/>
  <c r="I35" i="2"/>
  <c r="I33" i="2"/>
  <c r="I31" i="2"/>
  <c r="I29" i="2"/>
  <c r="I25" i="2"/>
  <c r="I23" i="2"/>
  <c r="I21" i="2"/>
  <c r="I19" i="2"/>
  <c r="I17" i="2"/>
  <c r="I15" i="2"/>
  <c r="I13" i="2"/>
  <c r="I11" i="2"/>
  <c r="I9" i="2"/>
  <c r="I7" i="2"/>
  <c r="I3" i="2"/>
  <c r="I106" i="1"/>
  <c r="I104" i="1"/>
  <c r="I92" i="1"/>
  <c r="I90" i="1"/>
  <c r="I80" i="1"/>
  <c r="I77" i="1"/>
  <c r="I74" i="1"/>
  <c r="I72" i="1"/>
  <c r="I70" i="1"/>
  <c r="I68" i="1"/>
  <c r="I48" i="1"/>
  <c r="I46" i="1"/>
  <c r="I44" i="1"/>
  <c r="I42" i="1"/>
  <c r="I34" i="1"/>
  <c r="I31" i="1"/>
  <c r="I28" i="1"/>
  <c r="I26" i="1"/>
  <c r="I23" i="1"/>
  <c r="I20" i="1"/>
  <c r="I18" i="1"/>
  <c r="I16" i="1"/>
  <c r="I14" i="1"/>
  <c r="I12" i="1"/>
  <c r="I10" i="1"/>
</calcChain>
</file>

<file path=xl/sharedStrings.xml><?xml version="1.0" encoding="utf-8"?>
<sst xmlns="http://schemas.openxmlformats.org/spreadsheetml/2006/main" count="2674" uniqueCount="184">
  <si>
    <t>record_id</t>
  </si>
  <si>
    <t>contrast_id</t>
  </si>
  <si>
    <t>domain</t>
  </si>
  <si>
    <t>measure_name</t>
  </si>
  <si>
    <t>group_IC</t>
  </si>
  <si>
    <t>num_students_bundle</t>
  </si>
  <si>
    <t>MI10012</t>
  </si>
  <si>
    <t>Whole Numbers</t>
  </si>
  <si>
    <t>"Computational Estimation\n SUBTEST"</t>
  </si>
  <si>
    <t>interven…</t>
  </si>
  <si>
    <t>FF+RS</t>
  </si>
  <si>
    <t>comparis…</t>
  </si>
  <si>
    <t>FF</t>
  </si>
  <si>
    <t>"Story Problems factor score"</t>
  </si>
  <si>
    <t>BAU</t>
  </si>
  <si>
    <t>MI10013</t>
  </si>
  <si>
    <t>"Double digit addition"</t>
  </si>
  <si>
    <t>MI20279</t>
  </si>
  <si>
    <t>"Number Identification subtest of the Texas Early Mathematics Inventory-Progre</t>
  </si>
  <si>
    <t>RS</t>
  </si>
  <si>
    <t>MI20284</t>
  </si>
  <si>
    <t>"Magnitude Comparison subtest of the Texas Early Mathematics Inventory-Progres</t>
  </si>
  <si>
    <t>MI20406</t>
  </si>
  <si>
    <t>87445_disagg_a</t>
  </si>
  <si>
    <t>"Number Sense Brief (NSB)"</t>
  </si>
  <si>
    <t>87445_disagg_b</t>
  </si>
  <si>
    <t>"Test of Early Mathematics Ability (TEMA-3)"</t>
  </si>
  <si>
    <t>MI20409</t>
  </si>
  <si>
    <t>"Stanford Achievement Test, 10th Edition (SAT-10): Math Problem Solving &amp; Math</t>
  </si>
  <si>
    <t>MI20586</t>
  </si>
  <si>
    <t>"Stanford Early School Achievement Test (SESAT)"</t>
  </si>
  <si>
    <t>MI20625</t>
  </si>
  <si>
    <t>"Arithmetic Fluency"</t>
  </si>
  <si>
    <t>86416_disagg</t>
  </si>
  <si>
    <t>MI20751</t>
  </si>
  <si>
    <t>"Woodcock-Johnson III (WJ-III): Calculation"</t>
  </si>
  <si>
    <t>MI20759</t>
  </si>
  <si>
    <t>"Vanderbilt Story Problems Grade 3"</t>
  </si>
  <si>
    <t>87213_disagg_a</t>
  </si>
  <si>
    <t>MI20760</t>
  </si>
  <si>
    <t>"Vanderbilt Story Problems"</t>
  </si>
  <si>
    <t>MI20802</t>
  </si>
  <si>
    <t>NL+RS</t>
  </si>
  <si>
    <t>MI21079</t>
  </si>
  <si>
    <t>General Mathematics Achievement</t>
  </si>
  <si>
    <t>"Northwest Evaluation Association (NWEA) Measures of Academic Progress (MAP):</t>
  </si>
  <si>
    <t>MI21085</t>
  </si>
  <si>
    <t>"Addition and Subtraction Number Combinations Automaticity"</t>
  </si>
  <si>
    <t>MI21119</t>
  </si>
  <si>
    <t>"Single-skill Curriculum-Based Measures of Mathematics (CBM-M): Multiplication</t>
  </si>
  <si>
    <t>MI21843</t>
  </si>
  <si>
    <t>"Addition Fluency"</t>
  </si>
  <si>
    <t>VF+FF+RS</t>
  </si>
  <si>
    <t>87243_disagg</t>
  </si>
  <si>
    <t>MI21846</t>
  </si>
  <si>
    <t>87245_disagg_a</t>
  </si>
  <si>
    <t>"Open Equations- Standard equations"</t>
  </si>
  <si>
    <t>87245_disagg_b</t>
  </si>
  <si>
    <t>MI21847</t>
  </si>
  <si>
    <t>"Calculations - Distal Outcome (composite) [Powell et al. 2015]"</t>
  </si>
  <si>
    <t>"Second- Grade Story Problems (Fuchs, Seethaler, et al., 2008)"</t>
  </si>
  <si>
    <t>MI21849</t>
  </si>
  <si>
    <t>"Automatic Fact Retrieval"</t>
  </si>
  <si>
    <t>MI22216</t>
  </si>
  <si>
    <t>"Wechsler Individual Achievement Test (WIAT) and Wide Range Achievement Test (</t>
  </si>
  <si>
    <t>MI22219</t>
  </si>
  <si>
    <t>"STAR: California Dept. of Ed Standardized Testing and Reporting (2009)"</t>
  </si>
  <si>
    <t>MI22220</t>
  </si>
  <si>
    <t>"Comprehensive Mathematical Abilities Test (CMAT) - Story Problem Subtest"</t>
  </si>
  <si>
    <t>MI22399</t>
  </si>
  <si>
    <t>"Basic Skills Algebra curriculum-based measure"</t>
  </si>
  <si>
    <t>MI30044</t>
  </si>
  <si>
    <t>"Arithmetic Combinations (Fuchs Hamlett &amp; Powell 2003)"</t>
  </si>
  <si>
    <t>87211_disagg</t>
  </si>
  <si>
    <t>MI30059</t>
  </si>
  <si>
    <t>NL+FF+RS</t>
  </si>
  <si>
    <t>87463_disagg_a</t>
  </si>
  <si>
    <t>87463_disagg_b</t>
  </si>
  <si>
    <t>MI70138</t>
  </si>
  <si>
    <t>90429_disagg_a</t>
  </si>
  <si>
    <t>"Assessing Student Proficiency in Early Number Sense (ASPENS)"</t>
  </si>
  <si>
    <t>90429_disagg_b</t>
  </si>
  <si>
    <t>MI70194</t>
  </si>
  <si>
    <t>VF+RS</t>
  </si>
  <si>
    <t>MI70732</t>
  </si>
  <si>
    <t>90512_disagg_a</t>
  </si>
  <si>
    <t>"Texas Word Problems"</t>
  </si>
  <si>
    <t>90512_disagg_b</t>
  </si>
  <si>
    <t>MI70733</t>
  </si>
  <si>
    <t>"State of Texas Assessments of Academic Readiness (STAAR) - Word problems"</t>
  </si>
  <si>
    <t>MI70736</t>
  </si>
  <si>
    <t>"Arithmetic selected from the school program (Go MATH!; Houghton-Mifflin Harco</t>
  </si>
  <si>
    <t>MI70738</t>
  </si>
  <si>
    <t>90514_A</t>
  </si>
  <si>
    <t>90514_B</t>
  </si>
  <si>
    <t>MI70753</t>
  </si>
  <si>
    <t>"Early Measurement CBM (EM-CBM)"</t>
  </si>
  <si>
    <t>intervention_comparison</t>
  </si>
  <si>
    <t>intervention_prelim</t>
  </si>
  <si>
    <t>intervention_n</t>
  </si>
  <si>
    <t>comparison_prelim</t>
  </si>
  <si>
    <t>comparison_n</t>
  </si>
  <si>
    <t>full_sample_size</t>
  </si>
  <si>
    <t>W</t>
  </si>
  <si>
    <t>"Fact Retrieval factor score"</t>
  </si>
  <si>
    <t>"Math Concepts factor score (two measures: Place …</t>
  </si>
  <si>
    <t>"Procedural Computation factor score"</t>
  </si>
  <si>
    <t>"Math Concepts factor score (two\r measures: Plac…</t>
  </si>
  <si>
    <t>intervention_content</t>
  </si>
  <si>
    <t>X- keep</t>
  </si>
  <si>
    <t>interve…</t>
  </si>
  <si>
    <t>compari…</t>
  </si>
  <si>
    <t>intervention_comparison_prelim</t>
  </si>
  <si>
    <t>N/A</t>
  </si>
  <si>
    <t>MI20758</t>
  </si>
  <si>
    <t>R</t>
  </si>
  <si>
    <t>Fraction Battery-Revised: Addition/Subtraction</t>
  </si>
  <si>
    <t>NL+SE+FF+RS</t>
  </si>
  <si>
    <t>Multiplicative Word Problems from the 2012 Fraction Battery</t>
  </si>
  <si>
    <t>intervention_n c</t>
  </si>
  <si>
    <t>omparison_prelim</t>
  </si>
  <si>
    <t>comparison_n f</t>
  </si>
  <si>
    <t>ull_sample_size</t>
  </si>
  <si>
    <t>Fraction Battery-Revised: Fraction Magnitude Comparisons</t>
  </si>
  <si>
    <t>Fraction Battery-Revised: Fraction Magnitude Explanations</t>
  </si>
  <si>
    <t>Fraction Number Line</t>
  </si>
  <si>
    <t>National Assessment of Educational Progress (NAEP) selected it</t>
  </si>
  <si>
    <t>… NL+SE+FF+RS</t>
  </si>
  <si>
    <t>… NL+FF+RS</t>
  </si>
  <si>
    <t>ntervention_compari…¹</t>
  </si>
  <si>
    <t>intervention_p…</t>
  </si>
  <si>
    <t>comparison_pre…</t>
  </si>
  <si>
    <t xml:space="preserve">group_IC        </t>
  </si>
  <si>
    <t>contrast_id    in</t>
  </si>
  <si>
    <t>tervention_content</t>
  </si>
  <si>
    <t>measure_name                                       inter</t>
  </si>
  <si>
    <t>roup_IC i</t>
  </si>
  <si>
    <t>Multiplicative Word Problems from the 2012 Fracti…</t>
  </si>
  <si>
    <t>National Assessment of Educational Progress (NAEP…</t>
  </si>
  <si>
    <t>MI20761</t>
  </si>
  <si>
    <t>2010 Fraction Battery: Comparing Fractions</t>
  </si>
  <si>
    <t>MI20762</t>
  </si>
  <si>
    <t>89454_disagg</t>
  </si>
  <si>
    <t>Additive Word Problems from the Fraction Battery–…</t>
  </si>
  <si>
    <t>Everyday Math Core Unit Assessment</t>
  </si>
  <si>
    <t>MI30001</t>
  </si>
  <si>
    <t>Fraction Arithmetic</t>
  </si>
  <si>
    <t>MI30002</t>
  </si>
  <si>
    <t>MI30058</t>
  </si>
  <si>
    <t>Test of Fraction Procedures</t>
  </si>
  <si>
    <t>NL+SE+VF+RS</t>
  </si>
  <si>
    <t>MI30060</t>
  </si>
  <si>
    <t>13 released items from 1990-2009 National Assessm…</t>
  </si>
  <si>
    <t>89198_disagg</t>
  </si>
  <si>
    <t>MI30061</t>
  </si>
  <si>
    <t>Fraction Calculations (Malone &amp; Fuchs, 2017)</t>
  </si>
  <si>
    <t>0-2 Fraction Number Line</t>
  </si>
  <si>
    <t>89453_disagg</t>
  </si>
  <si>
    <t>MI30062</t>
  </si>
  <si>
    <t>0-1 Decimal Number Line Task (Malone, Kelley, &amp; F…</t>
  </si>
  <si>
    <t>MI40006</t>
  </si>
  <si>
    <t>Fraction Calculations</t>
  </si>
  <si>
    <t>NL+SE+RS</t>
  </si>
  <si>
    <t>MI70140</t>
  </si>
  <si>
    <t>AIMSweb Mathematics Computation - 5th grade</t>
  </si>
  <si>
    <t>MI70352</t>
  </si>
  <si>
    <t>easyCBM for Numbers and Operations</t>
  </si>
  <si>
    <t>SE+RS</t>
  </si>
  <si>
    <t>MI70737</t>
  </si>
  <si>
    <t>90582_disagg_a</t>
  </si>
  <si>
    <t>90582_disagg_b</t>
  </si>
  <si>
    <t>study_id</t>
  </si>
  <si>
    <t>n</t>
  </si>
  <si>
    <t xml:space="preserve">group_IC          </t>
  </si>
  <si>
    <t>repeat</t>
  </si>
  <si>
    <t>looks like vastly different group than n=108 for RS in above contrast of same study, thus include</t>
  </si>
  <si>
    <t xml:space="preserve">repeat </t>
  </si>
  <si>
    <t>looks like vastly different group than n=204 for RS in above contrast of same study, thus include</t>
  </si>
  <si>
    <t>looks like vastly different group than n=91 for FF+RS in above contrast of same study, thus include</t>
  </si>
  <si>
    <t>looks like vastly different group than n=85 for RS in above contrast of same study, thus include</t>
  </si>
  <si>
    <t>num_students</t>
  </si>
  <si>
    <t>intervention bundle</t>
  </si>
  <si>
    <t>intervention or comparison assignment</t>
  </si>
  <si>
    <t>Include in student sample size counts? 
=1 to include non-BAU; 
=2 to include BAU; 
=0 to not include repeated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</si>
</sst>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scheme val="minor"/>
    </font>
    <font>
      <strike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70C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1"/>
      <color rgb="FF0070C0"/>
      <name val="Aptos Narrow"/>
      <family val="2"/>
      <scheme val="minor"/>
    </font>
    <font>
      <strike/>
      <sz val="11"/>
      <color theme="9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trike/>
      <sz val="11"/>
      <color theme="3" tint="0.499984740745262"/>
      <name val="Aptos Narrow"/>
      <family val="2"/>
      <scheme val="minor"/>
    </font>
    <font>
      <b/>
      <u/>
      <sz val="11"/>
      <name val="Aptos Narrow"/>
      <scheme val="minor"/>
    </font>
    <font>
      <sz val="1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4" fillId="2" borderId="4" xfId="0" applyFont="1" applyFill="1" applyBorder="1"/>
    <xf numFmtId="0" fontId="4" fillId="2" borderId="0" xfId="0" applyFont="1" applyFill="1"/>
    <xf numFmtId="0" fontId="4" fillId="2" borderId="5" xfId="0" applyFont="1" applyFill="1" applyBorder="1"/>
    <xf numFmtId="0" fontId="4" fillId="3" borderId="4" xfId="0" applyFont="1" applyFill="1" applyBorder="1"/>
    <xf numFmtId="0" fontId="4" fillId="3" borderId="0" xfId="0" applyFont="1" applyFill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1" fillId="2" borderId="0" xfId="0" applyFont="1" applyFill="1"/>
    <xf numFmtId="0" fontId="1" fillId="4" borderId="2" xfId="0" applyFont="1" applyFill="1" applyBorder="1"/>
    <xf numFmtId="0" fontId="5" fillId="2" borderId="0" xfId="0" applyFont="1" applyFill="1"/>
    <xf numFmtId="0" fontId="5" fillId="3" borderId="7" xfId="0" applyFont="1" applyFill="1" applyBorder="1"/>
    <xf numFmtId="0" fontId="6" fillId="4" borderId="2" xfId="0" applyFont="1" applyFill="1" applyBorder="1"/>
    <xf numFmtId="0" fontId="6" fillId="3" borderId="7" xfId="0" applyFont="1" applyFill="1" applyBorder="1"/>
    <xf numFmtId="0" fontId="0" fillId="4" borderId="0" xfId="0" applyFill="1"/>
    <xf numFmtId="0" fontId="7" fillId="2" borderId="0" xfId="0" applyFont="1" applyFill="1"/>
    <xf numFmtId="0" fontId="8" fillId="3" borderId="7" xfId="0" applyFont="1" applyFill="1" applyBorder="1"/>
    <xf numFmtId="0" fontId="9" fillId="3" borderId="7" xfId="0" applyFont="1" applyFill="1" applyBorder="1"/>
    <xf numFmtId="0" fontId="10" fillId="4" borderId="2" xfId="0" applyFont="1" applyFill="1" applyBorder="1"/>
    <xf numFmtId="0" fontId="10" fillId="3" borderId="7" xfId="0" applyFont="1" applyFill="1" applyBorder="1"/>
    <xf numFmtId="0" fontId="1" fillId="4" borderId="3" xfId="0" applyFont="1" applyFill="1" applyBorder="1"/>
    <xf numFmtId="0" fontId="5" fillId="2" borderId="5" xfId="0" applyFont="1" applyFill="1" applyBorder="1"/>
    <xf numFmtId="0" fontId="5" fillId="3" borderId="8" xfId="0" applyFont="1" applyFill="1" applyBorder="1"/>
    <xf numFmtId="0" fontId="9" fillId="3" borderId="8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4" fillId="4" borderId="4" xfId="0" applyFont="1" applyFill="1" applyBorder="1"/>
    <xf numFmtId="0" fontId="4" fillId="4" borderId="0" xfId="0" applyFont="1" applyFill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1" fillId="2" borderId="5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11" fillId="4" borderId="2" xfId="0" applyFont="1" applyFill="1" applyBorder="1"/>
    <xf numFmtId="0" fontId="7" fillId="3" borderId="7" xfId="0" applyFont="1" applyFill="1" applyBorder="1"/>
    <xf numFmtId="0" fontId="12" fillId="2" borderId="0" xfId="0" applyFont="1" applyFill="1"/>
    <xf numFmtId="0" fontId="4" fillId="0" borderId="0" xfId="0" applyFont="1"/>
    <xf numFmtId="0" fontId="13" fillId="0" borderId="0" xfId="0" applyFont="1"/>
    <xf numFmtId="0" fontId="14" fillId="4" borderId="1" xfId="0" applyFont="1" applyFill="1" applyBorder="1"/>
    <xf numFmtId="0" fontId="14" fillId="4" borderId="2" xfId="0" applyFont="1" applyFill="1" applyBorder="1"/>
    <xf numFmtId="0" fontId="14" fillId="4" borderId="3" xfId="0" applyFont="1" applyFill="1" applyBorder="1"/>
    <xf numFmtId="0" fontId="14" fillId="2" borderId="4" xfId="0" applyFont="1" applyFill="1" applyBorder="1"/>
    <xf numFmtId="0" fontId="14" fillId="2" borderId="0" xfId="0" applyFont="1" applyFill="1"/>
    <xf numFmtId="0" fontId="14" fillId="2" borderId="5" xfId="0" applyFont="1" applyFill="1" applyBorder="1"/>
    <xf numFmtId="0" fontId="14" fillId="3" borderId="6" xfId="0" applyFont="1" applyFill="1" applyBorder="1"/>
    <xf numFmtId="0" fontId="14" fillId="3" borderId="7" xfId="0" applyFont="1" applyFill="1" applyBorder="1"/>
    <xf numFmtId="0" fontId="14" fillId="3" borderId="8" xfId="0" applyFont="1" applyFill="1" applyBorder="1"/>
    <xf numFmtId="0" fontId="5" fillId="0" borderId="7" xfId="0" applyFont="1" applyBorder="1"/>
    <xf numFmtId="0" fontId="1" fillId="0" borderId="0" xfId="0" applyFont="1"/>
    <xf numFmtId="0" fontId="10" fillId="0" borderId="2" xfId="0" applyFont="1" applyBorder="1"/>
    <xf numFmtId="0" fontId="3" fillId="0" borderId="0" xfId="0" applyFont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8" xfId="0" applyFill="1" applyBorder="1"/>
    <xf numFmtId="0" fontId="1" fillId="5" borderId="5" xfId="0" applyFont="1" applyFill="1" applyBorder="1"/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B193-8690-4E7B-8731-020E53DBCB59}">
  <dimension ref="A1:P109"/>
  <sheetViews>
    <sheetView workbookViewId="0">
      <pane ySplit="1" topLeftCell="A59" activePane="bottomLeft" state="frozen"/>
      <selection pane="bottomLeft" activeCell="P2" sqref="P2:P109"/>
    </sheetView>
  </sheetViews>
  <sheetFormatPr defaultRowHeight="14.25"/>
  <cols>
    <col min="1" max="1" width="8.5" bestFit="1" customWidth="1"/>
    <col min="2" max="2" width="14.375" bestFit="1" customWidth="1"/>
    <col min="3" max="3" width="15.875" customWidth="1"/>
    <col min="4" max="4" width="70.875" bestFit="1" customWidth="1"/>
    <col min="5" max="5" width="10.375" bestFit="1" customWidth="1"/>
    <col min="6" max="6" width="23.375" bestFit="1" customWidth="1"/>
    <col min="7" max="7" width="19.125" bestFit="1" customWidth="1"/>
  </cols>
  <sheetData>
    <row r="1" spans="1:1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97</v>
      </c>
      <c r="G1" s="2" t="s">
        <v>5</v>
      </c>
      <c r="K1" s="1" t="s">
        <v>0</v>
      </c>
      <c r="L1" s="1" t="s">
        <v>1</v>
      </c>
      <c r="M1" s="1" t="s">
        <v>4</v>
      </c>
      <c r="N1" s="1" t="s">
        <v>97</v>
      </c>
      <c r="O1" s="1" t="s">
        <v>5</v>
      </c>
    </row>
    <row r="2" spans="1:16">
      <c r="A2" s="3" t="s">
        <v>6</v>
      </c>
      <c r="B2" s="4">
        <v>74210</v>
      </c>
      <c r="C2" s="4" t="s">
        <v>7</v>
      </c>
      <c r="D2" s="4" t="s">
        <v>8</v>
      </c>
      <c r="E2" s="4" t="s">
        <v>9</v>
      </c>
      <c r="F2" s="4" t="s">
        <v>10</v>
      </c>
      <c r="G2" s="5">
        <v>31</v>
      </c>
      <c r="K2" t="s">
        <v>6</v>
      </c>
      <c r="L2">
        <v>74210</v>
      </c>
      <c r="M2" t="s">
        <v>98</v>
      </c>
      <c r="N2" t="s">
        <v>10</v>
      </c>
      <c r="O2">
        <v>31</v>
      </c>
      <c r="P2">
        <f>O2-G2</f>
        <v>0</v>
      </c>
    </row>
    <row r="3" spans="1:16">
      <c r="A3" s="6" t="s">
        <v>6</v>
      </c>
      <c r="B3">
        <v>74210</v>
      </c>
      <c r="C3" t="s">
        <v>7</v>
      </c>
      <c r="D3" t="s">
        <v>8</v>
      </c>
      <c r="E3" t="s">
        <v>11</v>
      </c>
      <c r="F3" t="s">
        <v>12</v>
      </c>
      <c r="G3" s="7">
        <v>32</v>
      </c>
      <c r="K3" t="s">
        <v>6</v>
      </c>
      <c r="L3">
        <v>74210</v>
      </c>
      <c r="M3" t="s">
        <v>100</v>
      </c>
      <c r="N3" t="s">
        <v>12</v>
      </c>
      <c r="O3">
        <v>32</v>
      </c>
      <c r="P3">
        <f t="shared" ref="P3:P66" si="0">O3-G3</f>
        <v>0</v>
      </c>
    </row>
    <row r="4" spans="1:16">
      <c r="A4" s="6" t="s">
        <v>6</v>
      </c>
      <c r="B4">
        <v>87216</v>
      </c>
      <c r="C4" t="s">
        <v>7</v>
      </c>
      <c r="D4" t="s">
        <v>13</v>
      </c>
      <c r="E4" t="s">
        <v>9</v>
      </c>
      <c r="F4" t="s">
        <v>12</v>
      </c>
      <c r="G4" s="7">
        <v>32</v>
      </c>
      <c r="K4" t="s">
        <v>6</v>
      </c>
      <c r="L4">
        <v>87216</v>
      </c>
      <c r="M4" t="s">
        <v>98</v>
      </c>
      <c r="N4" t="s">
        <v>12</v>
      </c>
      <c r="O4">
        <v>32</v>
      </c>
      <c r="P4">
        <f t="shared" si="0"/>
        <v>0</v>
      </c>
    </row>
    <row r="5" spans="1:16">
      <c r="A5" s="6" t="s">
        <v>6</v>
      </c>
      <c r="B5">
        <v>87216</v>
      </c>
      <c r="C5" t="s">
        <v>7</v>
      </c>
      <c r="D5" t="s">
        <v>13</v>
      </c>
      <c r="E5" t="s">
        <v>11</v>
      </c>
      <c r="F5" t="s">
        <v>14</v>
      </c>
      <c r="G5" s="7">
        <v>35</v>
      </c>
      <c r="K5" t="s">
        <v>6</v>
      </c>
      <c r="L5">
        <v>87216</v>
      </c>
      <c r="M5" t="s">
        <v>100</v>
      </c>
      <c r="N5" t="s">
        <v>14</v>
      </c>
      <c r="O5">
        <v>35</v>
      </c>
      <c r="P5">
        <f t="shared" si="0"/>
        <v>0</v>
      </c>
    </row>
    <row r="6" spans="1:16">
      <c r="A6" s="6" t="s">
        <v>6</v>
      </c>
      <c r="B6">
        <v>87217</v>
      </c>
      <c r="C6" t="s">
        <v>7</v>
      </c>
      <c r="D6" t="s">
        <v>8</v>
      </c>
      <c r="E6" t="s">
        <v>9</v>
      </c>
      <c r="F6" t="s">
        <v>10</v>
      </c>
      <c r="G6" s="7">
        <v>31</v>
      </c>
      <c r="H6">
        <v>1</v>
      </c>
      <c r="K6" t="s">
        <v>6</v>
      </c>
      <c r="L6">
        <v>87217</v>
      </c>
      <c r="M6" t="s">
        <v>98</v>
      </c>
      <c r="N6" t="s">
        <v>10</v>
      </c>
      <c r="O6">
        <v>31</v>
      </c>
      <c r="P6">
        <f t="shared" si="0"/>
        <v>0</v>
      </c>
    </row>
    <row r="7" spans="1:16">
      <c r="A7" s="8" t="s">
        <v>6</v>
      </c>
      <c r="B7" s="9">
        <v>87217</v>
      </c>
      <c r="C7" s="9" t="s">
        <v>7</v>
      </c>
      <c r="D7" s="9" t="s">
        <v>8</v>
      </c>
      <c r="E7" s="9" t="s">
        <v>11</v>
      </c>
      <c r="F7" s="9" t="s">
        <v>14</v>
      </c>
      <c r="G7" s="10">
        <v>35</v>
      </c>
      <c r="K7" t="s">
        <v>6</v>
      </c>
      <c r="L7">
        <v>87217</v>
      </c>
      <c r="M7" t="s">
        <v>100</v>
      </c>
      <c r="N7" t="s">
        <v>14</v>
      </c>
      <c r="O7">
        <v>35</v>
      </c>
      <c r="P7">
        <f t="shared" si="0"/>
        <v>0</v>
      </c>
    </row>
    <row r="8" spans="1:16">
      <c r="A8" s="3" t="s">
        <v>15</v>
      </c>
      <c r="B8" s="4">
        <v>74201</v>
      </c>
      <c r="C8" s="4" t="s">
        <v>7</v>
      </c>
      <c r="D8" s="4" t="s">
        <v>16</v>
      </c>
      <c r="E8" s="4" t="s">
        <v>9</v>
      </c>
      <c r="F8" s="4" t="s">
        <v>12</v>
      </c>
      <c r="G8" s="5">
        <v>16</v>
      </c>
      <c r="K8" t="s">
        <v>15</v>
      </c>
      <c r="L8">
        <v>74201</v>
      </c>
      <c r="M8" t="s">
        <v>98</v>
      </c>
      <c r="N8" t="s">
        <v>12</v>
      </c>
      <c r="O8">
        <v>16</v>
      </c>
      <c r="P8">
        <f t="shared" si="0"/>
        <v>0</v>
      </c>
    </row>
    <row r="9" spans="1:16">
      <c r="A9" s="8" t="s">
        <v>15</v>
      </c>
      <c r="B9" s="9">
        <v>74201</v>
      </c>
      <c r="C9" s="9" t="s">
        <v>7</v>
      </c>
      <c r="D9" s="9" t="s">
        <v>16</v>
      </c>
      <c r="E9" s="9" t="s">
        <v>11</v>
      </c>
      <c r="F9" s="9" t="s">
        <v>14</v>
      </c>
      <c r="G9" s="10">
        <v>19</v>
      </c>
      <c r="K9" t="s">
        <v>15</v>
      </c>
      <c r="L9">
        <v>74201</v>
      </c>
      <c r="M9" t="s">
        <v>100</v>
      </c>
      <c r="N9" t="s">
        <v>14</v>
      </c>
      <c r="O9">
        <v>19</v>
      </c>
      <c r="P9">
        <f t="shared" si="0"/>
        <v>0</v>
      </c>
    </row>
    <row r="10" spans="1:16">
      <c r="A10" s="3" t="s">
        <v>17</v>
      </c>
      <c r="B10" s="4">
        <v>86432</v>
      </c>
      <c r="C10" s="4" t="s">
        <v>7</v>
      </c>
      <c r="D10" s="4" t="s">
        <v>18</v>
      </c>
      <c r="E10" s="4" t="s">
        <v>9</v>
      </c>
      <c r="F10" s="4" t="s">
        <v>19</v>
      </c>
      <c r="G10" s="5">
        <v>47</v>
      </c>
      <c r="H10">
        <v>1</v>
      </c>
      <c r="I10">
        <f>IF(H10=1,G10,0)</f>
        <v>47</v>
      </c>
      <c r="K10" t="s">
        <v>17</v>
      </c>
      <c r="L10">
        <v>86432</v>
      </c>
      <c r="M10" t="s">
        <v>98</v>
      </c>
      <c r="N10" t="s">
        <v>19</v>
      </c>
      <c r="O10">
        <v>47</v>
      </c>
      <c r="P10">
        <f t="shared" si="0"/>
        <v>0</v>
      </c>
    </row>
    <row r="11" spans="1:16">
      <c r="A11" s="8" t="s">
        <v>17</v>
      </c>
      <c r="B11" s="9">
        <v>86432</v>
      </c>
      <c r="C11" s="9" t="s">
        <v>7</v>
      </c>
      <c r="D11" s="9" t="s">
        <v>18</v>
      </c>
      <c r="E11" s="9" t="s">
        <v>11</v>
      </c>
      <c r="F11" s="9" t="s">
        <v>14</v>
      </c>
      <c r="G11" s="10">
        <v>24</v>
      </c>
      <c r="K11" t="s">
        <v>17</v>
      </c>
      <c r="L11">
        <v>86432</v>
      </c>
      <c r="M11" t="s">
        <v>100</v>
      </c>
      <c r="N11" t="s">
        <v>14</v>
      </c>
      <c r="O11">
        <v>24</v>
      </c>
      <c r="P11">
        <f t="shared" si="0"/>
        <v>0</v>
      </c>
    </row>
    <row r="12" spans="1:16">
      <c r="A12" s="3" t="s">
        <v>20</v>
      </c>
      <c r="B12" s="4">
        <v>86433</v>
      </c>
      <c r="C12" s="4" t="s">
        <v>7</v>
      </c>
      <c r="D12" s="4" t="s">
        <v>21</v>
      </c>
      <c r="E12" s="4" t="s">
        <v>9</v>
      </c>
      <c r="F12" s="4" t="s">
        <v>19</v>
      </c>
      <c r="G12" s="5">
        <v>139</v>
      </c>
      <c r="H12">
        <v>1</v>
      </c>
      <c r="I12">
        <f>IF(H12=1,G12,0)</f>
        <v>139</v>
      </c>
      <c r="K12" t="s">
        <v>20</v>
      </c>
      <c r="L12">
        <v>86433</v>
      </c>
      <c r="M12" t="s">
        <v>98</v>
      </c>
      <c r="N12" t="s">
        <v>19</v>
      </c>
      <c r="O12">
        <v>139</v>
      </c>
      <c r="P12">
        <f t="shared" si="0"/>
        <v>0</v>
      </c>
    </row>
    <row r="13" spans="1:16">
      <c r="A13" s="8" t="s">
        <v>20</v>
      </c>
      <c r="B13" s="9">
        <v>86433</v>
      </c>
      <c r="C13" s="9" t="s">
        <v>7</v>
      </c>
      <c r="D13" s="9" t="s">
        <v>21</v>
      </c>
      <c r="E13" s="9" t="s">
        <v>11</v>
      </c>
      <c r="F13" s="9" t="s">
        <v>14</v>
      </c>
      <c r="G13" s="10">
        <v>64</v>
      </c>
      <c r="K13" t="s">
        <v>20</v>
      </c>
      <c r="L13">
        <v>86433</v>
      </c>
      <c r="M13" t="s">
        <v>100</v>
      </c>
      <c r="N13" t="s">
        <v>14</v>
      </c>
      <c r="O13">
        <v>64</v>
      </c>
      <c r="P13">
        <f t="shared" si="0"/>
        <v>0</v>
      </c>
    </row>
    <row r="14" spans="1:16">
      <c r="A14" s="3" t="s">
        <v>22</v>
      </c>
      <c r="B14" s="4" t="s">
        <v>23</v>
      </c>
      <c r="C14" s="4" t="s">
        <v>7</v>
      </c>
      <c r="D14" s="4" t="s">
        <v>24</v>
      </c>
      <c r="E14" s="4" t="s">
        <v>9</v>
      </c>
      <c r="F14" s="4" t="s">
        <v>19</v>
      </c>
      <c r="G14" s="5">
        <v>108</v>
      </c>
      <c r="H14">
        <v>1</v>
      </c>
      <c r="I14">
        <f>IF(H14=1,G14,0)</f>
        <v>108</v>
      </c>
      <c r="K14" t="s">
        <v>22</v>
      </c>
      <c r="L14" t="s">
        <v>23</v>
      </c>
      <c r="M14" t="s">
        <v>98</v>
      </c>
      <c r="N14" t="s">
        <v>19</v>
      </c>
      <c r="O14">
        <v>108</v>
      </c>
      <c r="P14">
        <f t="shared" si="0"/>
        <v>0</v>
      </c>
    </row>
    <row r="15" spans="1:16">
      <c r="A15" s="6" t="s">
        <v>22</v>
      </c>
      <c r="B15" t="s">
        <v>23</v>
      </c>
      <c r="C15" t="s">
        <v>7</v>
      </c>
      <c r="D15" t="s">
        <v>24</v>
      </c>
      <c r="E15" t="s">
        <v>11</v>
      </c>
      <c r="F15" t="s">
        <v>14</v>
      </c>
      <c r="G15" s="7">
        <v>162</v>
      </c>
      <c r="K15" t="s">
        <v>22</v>
      </c>
      <c r="L15" t="s">
        <v>23</v>
      </c>
      <c r="M15" t="s">
        <v>100</v>
      </c>
      <c r="N15" t="s">
        <v>14</v>
      </c>
      <c r="O15">
        <v>162</v>
      </c>
      <c r="P15">
        <f t="shared" si="0"/>
        <v>0</v>
      </c>
    </row>
    <row r="16" spans="1:16">
      <c r="A16" s="6" t="s">
        <v>22</v>
      </c>
      <c r="B16" t="s">
        <v>25</v>
      </c>
      <c r="C16" t="s">
        <v>7</v>
      </c>
      <c r="D16" t="s">
        <v>26</v>
      </c>
      <c r="E16" t="s">
        <v>9</v>
      </c>
      <c r="F16" t="s">
        <v>19</v>
      </c>
      <c r="G16" s="7">
        <v>257</v>
      </c>
      <c r="I16">
        <f>IF(H16=1,G16,0)</f>
        <v>0</v>
      </c>
      <c r="K16" t="s">
        <v>22</v>
      </c>
      <c r="L16" t="s">
        <v>25</v>
      </c>
      <c r="M16" t="s">
        <v>98</v>
      </c>
      <c r="N16" t="s">
        <v>19</v>
      </c>
      <c r="O16">
        <v>258</v>
      </c>
      <c r="P16">
        <f t="shared" si="0"/>
        <v>1</v>
      </c>
    </row>
    <row r="17" spans="1:16">
      <c r="A17" s="8" t="s">
        <v>22</v>
      </c>
      <c r="B17" s="9" t="s">
        <v>25</v>
      </c>
      <c r="C17" s="9" t="s">
        <v>7</v>
      </c>
      <c r="D17" s="9" t="s">
        <v>26</v>
      </c>
      <c r="E17" s="9" t="s">
        <v>11</v>
      </c>
      <c r="F17" s="9" t="s">
        <v>14</v>
      </c>
      <c r="G17" s="10">
        <v>162</v>
      </c>
      <c r="K17" t="s">
        <v>22</v>
      </c>
      <c r="L17" t="s">
        <v>25</v>
      </c>
      <c r="M17" t="s">
        <v>100</v>
      </c>
      <c r="N17" t="s">
        <v>14</v>
      </c>
      <c r="O17">
        <v>163</v>
      </c>
      <c r="P17">
        <f t="shared" si="0"/>
        <v>1</v>
      </c>
    </row>
    <row r="18" spans="1:16">
      <c r="A18" s="3" t="s">
        <v>27</v>
      </c>
      <c r="B18" s="4">
        <v>86419</v>
      </c>
      <c r="C18" s="4" t="s">
        <v>7</v>
      </c>
      <c r="D18" s="4" t="s">
        <v>28</v>
      </c>
      <c r="E18" s="4" t="s">
        <v>9</v>
      </c>
      <c r="F18" s="4" t="s">
        <v>19</v>
      </c>
      <c r="G18" s="5">
        <v>44</v>
      </c>
      <c r="H18">
        <v>1</v>
      </c>
      <c r="I18">
        <f>IF(H18=1,G18,0)</f>
        <v>44</v>
      </c>
      <c r="K18" t="s">
        <v>27</v>
      </c>
      <c r="L18">
        <v>86419</v>
      </c>
      <c r="M18" t="s">
        <v>98</v>
      </c>
      <c r="N18" t="s">
        <v>19</v>
      </c>
      <c r="O18">
        <v>44</v>
      </c>
      <c r="P18">
        <f t="shared" si="0"/>
        <v>0</v>
      </c>
    </row>
    <row r="19" spans="1:16">
      <c r="A19" s="8" t="s">
        <v>27</v>
      </c>
      <c r="B19" s="9">
        <v>86419</v>
      </c>
      <c r="C19" s="9" t="s">
        <v>7</v>
      </c>
      <c r="D19" s="9" t="s">
        <v>28</v>
      </c>
      <c r="E19" s="9" t="s">
        <v>11</v>
      </c>
      <c r="F19" s="9" t="s">
        <v>14</v>
      </c>
      <c r="G19" s="10">
        <v>43</v>
      </c>
      <c r="K19" t="s">
        <v>27</v>
      </c>
      <c r="L19">
        <v>86419</v>
      </c>
      <c r="M19" t="s">
        <v>100</v>
      </c>
      <c r="N19" t="s">
        <v>14</v>
      </c>
      <c r="O19">
        <v>43</v>
      </c>
      <c r="P19">
        <f t="shared" si="0"/>
        <v>0</v>
      </c>
    </row>
    <row r="20" spans="1:16">
      <c r="A20" s="3" t="s">
        <v>29</v>
      </c>
      <c r="B20" s="4">
        <v>87522</v>
      </c>
      <c r="C20" s="4" t="s">
        <v>7</v>
      </c>
      <c r="D20" s="4" t="s">
        <v>30</v>
      </c>
      <c r="E20" s="4" t="s">
        <v>9</v>
      </c>
      <c r="F20" s="4" t="s">
        <v>19</v>
      </c>
      <c r="G20" s="5">
        <v>194</v>
      </c>
      <c r="H20">
        <v>1</v>
      </c>
      <c r="I20">
        <f>IF(H20=1,G20,0)</f>
        <v>194</v>
      </c>
      <c r="K20" t="s">
        <v>29</v>
      </c>
      <c r="L20">
        <v>87522</v>
      </c>
      <c r="M20" t="s">
        <v>98</v>
      </c>
      <c r="N20" t="s">
        <v>19</v>
      </c>
      <c r="O20">
        <v>213</v>
      </c>
      <c r="P20">
        <f t="shared" si="0"/>
        <v>19</v>
      </c>
    </row>
    <row r="21" spans="1:16">
      <c r="A21" s="8" t="s">
        <v>29</v>
      </c>
      <c r="B21" s="9">
        <v>87522</v>
      </c>
      <c r="C21" s="9" t="s">
        <v>7</v>
      </c>
      <c r="D21" s="9" t="s">
        <v>30</v>
      </c>
      <c r="E21" s="9" t="s">
        <v>11</v>
      </c>
      <c r="F21" s="9" t="s">
        <v>14</v>
      </c>
      <c r="G21" s="10">
        <v>81</v>
      </c>
      <c r="K21" t="s">
        <v>29</v>
      </c>
      <c r="L21">
        <v>87522</v>
      </c>
      <c r="M21" t="s">
        <v>100</v>
      </c>
      <c r="N21" t="s">
        <v>14</v>
      </c>
      <c r="O21">
        <v>88</v>
      </c>
      <c r="P21">
        <f t="shared" si="0"/>
        <v>7</v>
      </c>
    </row>
    <row r="22" spans="1:16">
      <c r="A22" s="3" t="s">
        <v>31</v>
      </c>
      <c r="B22" s="4">
        <v>87225</v>
      </c>
      <c r="C22" s="4" t="s">
        <v>7</v>
      </c>
      <c r="D22" s="4" t="s">
        <v>32</v>
      </c>
      <c r="E22" s="4" t="s">
        <v>9</v>
      </c>
      <c r="F22" s="4" t="s">
        <v>10</v>
      </c>
      <c r="G22" s="5">
        <v>44</v>
      </c>
      <c r="K22" t="s">
        <v>31</v>
      </c>
      <c r="L22" t="s">
        <v>33</v>
      </c>
      <c r="M22" t="s">
        <v>98</v>
      </c>
      <c r="N22" t="s">
        <v>19</v>
      </c>
      <c r="O22">
        <v>40</v>
      </c>
      <c r="P22">
        <f t="shared" si="0"/>
        <v>-4</v>
      </c>
    </row>
    <row r="23" spans="1:16">
      <c r="A23" s="6" t="s">
        <v>31</v>
      </c>
      <c r="B23">
        <v>87225</v>
      </c>
      <c r="C23" t="s">
        <v>7</v>
      </c>
      <c r="D23" t="s">
        <v>32</v>
      </c>
      <c r="E23" t="s">
        <v>11</v>
      </c>
      <c r="F23" t="s">
        <v>19</v>
      </c>
      <c r="G23" s="7">
        <v>40</v>
      </c>
      <c r="H23">
        <v>1</v>
      </c>
      <c r="I23">
        <f>IF(H23=1,G23,0)</f>
        <v>40</v>
      </c>
      <c r="K23" t="s">
        <v>31</v>
      </c>
      <c r="L23" t="s">
        <v>33</v>
      </c>
      <c r="M23" t="s">
        <v>100</v>
      </c>
      <c r="N23" t="s">
        <v>14</v>
      </c>
      <c r="O23">
        <v>42</v>
      </c>
      <c r="P23">
        <f t="shared" si="0"/>
        <v>2</v>
      </c>
    </row>
    <row r="24" spans="1:16">
      <c r="A24" s="6" t="s">
        <v>31</v>
      </c>
      <c r="B24">
        <v>89406</v>
      </c>
      <c r="C24" t="s">
        <v>7</v>
      </c>
      <c r="D24" t="s">
        <v>32</v>
      </c>
      <c r="E24" t="s">
        <v>9</v>
      </c>
      <c r="F24" t="s">
        <v>10</v>
      </c>
      <c r="G24" s="7">
        <v>44</v>
      </c>
      <c r="H24">
        <v>1</v>
      </c>
      <c r="K24" t="s">
        <v>31</v>
      </c>
      <c r="L24">
        <v>87225</v>
      </c>
      <c r="M24" t="s">
        <v>98</v>
      </c>
      <c r="N24" t="s">
        <v>10</v>
      </c>
      <c r="O24">
        <v>44</v>
      </c>
      <c r="P24">
        <f t="shared" si="0"/>
        <v>0</v>
      </c>
    </row>
    <row r="25" spans="1:16">
      <c r="A25" s="6" t="s">
        <v>31</v>
      </c>
      <c r="B25">
        <v>89406</v>
      </c>
      <c r="C25" t="s">
        <v>7</v>
      </c>
      <c r="D25" t="s">
        <v>32</v>
      </c>
      <c r="E25" t="s">
        <v>11</v>
      </c>
      <c r="F25" t="s">
        <v>14</v>
      </c>
      <c r="G25" s="7">
        <v>42</v>
      </c>
      <c r="K25" t="s">
        <v>31</v>
      </c>
      <c r="L25">
        <v>87225</v>
      </c>
      <c r="M25" t="s">
        <v>100</v>
      </c>
      <c r="N25" t="s">
        <v>19</v>
      </c>
      <c r="O25">
        <v>40</v>
      </c>
      <c r="P25">
        <f t="shared" si="0"/>
        <v>-2</v>
      </c>
    </row>
    <row r="26" spans="1:16">
      <c r="A26" s="6" t="s">
        <v>31</v>
      </c>
      <c r="B26" t="s">
        <v>33</v>
      </c>
      <c r="C26" t="s">
        <v>7</v>
      </c>
      <c r="D26" t="s">
        <v>32</v>
      </c>
      <c r="E26" t="s">
        <v>9</v>
      </c>
      <c r="F26" t="s">
        <v>19</v>
      </c>
      <c r="G26" s="7">
        <v>40</v>
      </c>
      <c r="I26">
        <f>IF(H26=1,G26,0)</f>
        <v>0</v>
      </c>
      <c r="K26" t="s">
        <v>31</v>
      </c>
      <c r="L26">
        <v>89406</v>
      </c>
      <c r="M26" t="s">
        <v>98</v>
      </c>
      <c r="N26" t="s">
        <v>10</v>
      </c>
      <c r="O26">
        <v>44</v>
      </c>
      <c r="P26">
        <f t="shared" si="0"/>
        <v>4</v>
      </c>
    </row>
    <row r="27" spans="1:16">
      <c r="A27" s="8" t="s">
        <v>31</v>
      </c>
      <c r="B27" s="9" t="s">
        <v>33</v>
      </c>
      <c r="C27" s="9" t="s">
        <v>7</v>
      </c>
      <c r="D27" s="9" t="s">
        <v>32</v>
      </c>
      <c r="E27" s="9" t="s">
        <v>11</v>
      </c>
      <c r="F27" s="9" t="s">
        <v>14</v>
      </c>
      <c r="G27" s="10">
        <v>42</v>
      </c>
      <c r="K27" t="s">
        <v>31</v>
      </c>
      <c r="L27">
        <v>89406</v>
      </c>
      <c r="M27" t="s">
        <v>100</v>
      </c>
      <c r="N27" t="s">
        <v>14</v>
      </c>
      <c r="O27">
        <v>42</v>
      </c>
      <c r="P27">
        <f t="shared" si="0"/>
        <v>0</v>
      </c>
    </row>
    <row r="28" spans="1:16">
      <c r="A28" s="3" t="s">
        <v>34</v>
      </c>
      <c r="B28" s="4">
        <v>74196</v>
      </c>
      <c r="C28" s="4" t="s">
        <v>7</v>
      </c>
      <c r="D28" s="4" t="s">
        <v>35</v>
      </c>
      <c r="E28" s="4" t="s">
        <v>9</v>
      </c>
      <c r="F28" s="4" t="s">
        <v>19</v>
      </c>
      <c r="G28" s="5">
        <v>64</v>
      </c>
      <c r="H28">
        <v>1</v>
      </c>
      <c r="I28">
        <f>IF(H28=1,G28,0)</f>
        <v>64</v>
      </c>
      <c r="K28" t="s">
        <v>34</v>
      </c>
      <c r="L28">
        <v>74196</v>
      </c>
      <c r="M28" t="s">
        <v>98</v>
      </c>
      <c r="N28" t="s">
        <v>19</v>
      </c>
      <c r="O28">
        <v>64</v>
      </c>
      <c r="P28">
        <f t="shared" si="0"/>
        <v>0</v>
      </c>
    </row>
    <row r="29" spans="1:16">
      <c r="A29" s="8" t="s">
        <v>34</v>
      </c>
      <c r="B29" s="9">
        <v>74196</v>
      </c>
      <c r="C29" s="9" t="s">
        <v>7</v>
      </c>
      <c r="D29" s="9" t="s">
        <v>35</v>
      </c>
      <c r="E29" s="9" t="s">
        <v>11</v>
      </c>
      <c r="F29" s="9" t="s">
        <v>14</v>
      </c>
      <c r="G29" s="10">
        <v>63</v>
      </c>
      <c r="K29" t="s">
        <v>34</v>
      </c>
      <c r="L29">
        <v>74196</v>
      </c>
      <c r="M29" t="s">
        <v>100</v>
      </c>
      <c r="N29" t="s">
        <v>14</v>
      </c>
      <c r="O29">
        <v>63</v>
      </c>
      <c r="P29">
        <f t="shared" si="0"/>
        <v>0</v>
      </c>
    </row>
    <row r="30" spans="1:16">
      <c r="A30" s="3" t="s">
        <v>36</v>
      </c>
      <c r="B30" s="4">
        <v>87212</v>
      </c>
      <c r="C30" s="4" t="s">
        <v>7</v>
      </c>
      <c r="D30" s="4" t="s">
        <v>37</v>
      </c>
      <c r="E30" s="4" t="s">
        <v>9</v>
      </c>
      <c r="F30" s="4" t="s">
        <v>10</v>
      </c>
      <c r="G30" s="5">
        <v>51</v>
      </c>
      <c r="K30" t="s">
        <v>36</v>
      </c>
      <c r="L30">
        <v>87212</v>
      </c>
      <c r="M30" t="s">
        <v>98</v>
      </c>
      <c r="N30" t="s">
        <v>10</v>
      </c>
      <c r="O30">
        <v>51</v>
      </c>
      <c r="P30">
        <f t="shared" si="0"/>
        <v>0</v>
      </c>
    </row>
    <row r="31" spans="1:16">
      <c r="A31" s="8" t="s">
        <v>36</v>
      </c>
      <c r="B31" s="9">
        <v>87212</v>
      </c>
      <c r="C31" s="9" t="s">
        <v>7</v>
      </c>
      <c r="D31" s="9" t="s">
        <v>37</v>
      </c>
      <c r="E31" s="9" t="s">
        <v>11</v>
      </c>
      <c r="F31" s="9" t="s">
        <v>19</v>
      </c>
      <c r="G31" s="10">
        <v>49</v>
      </c>
      <c r="H31">
        <v>1</v>
      </c>
      <c r="I31">
        <f>IF(H31=1,G31,0)</f>
        <v>49</v>
      </c>
      <c r="K31" t="s">
        <v>36</v>
      </c>
      <c r="L31">
        <v>87212</v>
      </c>
      <c r="M31" t="s">
        <v>100</v>
      </c>
      <c r="N31" t="s">
        <v>19</v>
      </c>
      <c r="O31">
        <v>49</v>
      </c>
      <c r="P31">
        <f t="shared" si="0"/>
        <v>0</v>
      </c>
    </row>
    <row r="32" spans="1:16">
      <c r="A32" s="3" t="s">
        <v>36</v>
      </c>
      <c r="B32" s="4">
        <v>89407</v>
      </c>
      <c r="C32" s="4" t="s">
        <v>7</v>
      </c>
      <c r="D32" s="4" t="s">
        <v>37</v>
      </c>
      <c r="E32" s="4" t="s">
        <v>9</v>
      </c>
      <c r="F32" s="4" t="s">
        <v>10</v>
      </c>
      <c r="G32" s="5">
        <v>51</v>
      </c>
      <c r="H32">
        <v>1</v>
      </c>
      <c r="K32" t="s">
        <v>36</v>
      </c>
      <c r="L32" t="s">
        <v>38</v>
      </c>
      <c r="M32" t="s">
        <v>98</v>
      </c>
      <c r="N32" t="s">
        <v>19</v>
      </c>
      <c r="O32">
        <v>49</v>
      </c>
      <c r="P32">
        <f t="shared" si="0"/>
        <v>-2</v>
      </c>
    </row>
    <row r="33" spans="1:16">
      <c r="A33" s="6" t="s">
        <v>36</v>
      </c>
      <c r="B33">
        <v>89407</v>
      </c>
      <c r="C33" t="s">
        <v>7</v>
      </c>
      <c r="D33" t="s">
        <v>37</v>
      </c>
      <c r="E33" t="s">
        <v>11</v>
      </c>
      <c r="F33" t="s">
        <v>14</v>
      </c>
      <c r="G33" s="7">
        <v>50</v>
      </c>
      <c r="K33" t="s">
        <v>36</v>
      </c>
      <c r="L33" t="s">
        <v>38</v>
      </c>
      <c r="M33" t="s">
        <v>100</v>
      </c>
      <c r="N33" t="s">
        <v>14</v>
      </c>
      <c r="O33">
        <v>50</v>
      </c>
      <c r="P33">
        <f t="shared" si="0"/>
        <v>0</v>
      </c>
    </row>
    <row r="34" spans="1:16">
      <c r="A34" s="6" t="s">
        <v>36</v>
      </c>
      <c r="B34" t="s">
        <v>38</v>
      </c>
      <c r="C34" t="s">
        <v>7</v>
      </c>
      <c r="D34" t="s">
        <v>37</v>
      </c>
      <c r="E34" t="s">
        <v>9</v>
      </c>
      <c r="F34" t="s">
        <v>19</v>
      </c>
      <c r="G34" s="7">
        <v>49</v>
      </c>
      <c r="I34">
        <f>IF(H34=1,G34,0)</f>
        <v>0</v>
      </c>
      <c r="K34" t="s">
        <v>36</v>
      </c>
      <c r="L34">
        <v>89407</v>
      </c>
      <c r="M34" t="s">
        <v>98</v>
      </c>
      <c r="N34" t="s">
        <v>10</v>
      </c>
      <c r="O34">
        <v>51</v>
      </c>
      <c r="P34">
        <f t="shared" si="0"/>
        <v>2</v>
      </c>
    </row>
    <row r="35" spans="1:16">
      <c r="A35" s="8" t="s">
        <v>36</v>
      </c>
      <c r="B35" s="9" t="s">
        <v>38</v>
      </c>
      <c r="C35" s="9" t="s">
        <v>7</v>
      </c>
      <c r="D35" s="9" t="s">
        <v>37</v>
      </c>
      <c r="E35" s="9" t="s">
        <v>11</v>
      </c>
      <c r="F35" s="9" t="s">
        <v>14</v>
      </c>
      <c r="G35" s="10">
        <v>50</v>
      </c>
      <c r="K35" t="s">
        <v>36</v>
      </c>
      <c r="L35">
        <v>89407</v>
      </c>
      <c r="M35" t="s">
        <v>100</v>
      </c>
      <c r="N35" t="s">
        <v>14</v>
      </c>
      <c r="O35">
        <v>50</v>
      </c>
      <c r="P35">
        <f t="shared" si="0"/>
        <v>0</v>
      </c>
    </row>
    <row r="36" spans="1:16">
      <c r="A36" s="3" t="s">
        <v>39</v>
      </c>
      <c r="B36" s="4">
        <v>87214</v>
      </c>
      <c r="C36" s="4" t="s">
        <v>7</v>
      </c>
      <c r="D36" s="4" t="s">
        <v>40</v>
      </c>
      <c r="E36" s="4" t="s">
        <v>9</v>
      </c>
      <c r="F36" s="4" t="s">
        <v>12</v>
      </c>
      <c r="G36" s="5">
        <v>42</v>
      </c>
      <c r="K36" t="s">
        <v>39</v>
      </c>
      <c r="L36">
        <v>87214</v>
      </c>
      <c r="M36" t="s">
        <v>98</v>
      </c>
      <c r="N36" t="s">
        <v>12</v>
      </c>
      <c r="O36">
        <v>42</v>
      </c>
      <c r="P36">
        <f t="shared" si="0"/>
        <v>0</v>
      </c>
    </row>
    <row r="37" spans="1:16">
      <c r="A37" s="6" t="s">
        <v>39</v>
      </c>
      <c r="B37">
        <v>87214</v>
      </c>
      <c r="C37" t="s">
        <v>7</v>
      </c>
      <c r="D37" t="s">
        <v>40</v>
      </c>
      <c r="E37" t="s">
        <v>11</v>
      </c>
      <c r="F37" t="s">
        <v>14</v>
      </c>
      <c r="G37" s="7">
        <v>47</v>
      </c>
      <c r="K37" t="s">
        <v>39</v>
      </c>
      <c r="L37">
        <v>87214</v>
      </c>
      <c r="M37" t="s">
        <v>100</v>
      </c>
      <c r="N37" t="s">
        <v>14</v>
      </c>
      <c r="O37">
        <v>47</v>
      </c>
      <c r="P37">
        <f t="shared" si="0"/>
        <v>0</v>
      </c>
    </row>
    <row r="38" spans="1:16">
      <c r="A38" s="6" t="s">
        <v>39</v>
      </c>
      <c r="B38">
        <v>87215</v>
      </c>
      <c r="C38" t="s">
        <v>7</v>
      </c>
      <c r="D38" t="s">
        <v>40</v>
      </c>
      <c r="E38" t="s">
        <v>9</v>
      </c>
      <c r="F38" t="s">
        <v>10</v>
      </c>
      <c r="G38" s="7">
        <v>44</v>
      </c>
      <c r="H38">
        <v>1</v>
      </c>
      <c r="K38" t="s">
        <v>39</v>
      </c>
      <c r="L38">
        <v>87215</v>
      </c>
      <c r="M38" t="s">
        <v>98</v>
      </c>
      <c r="N38" t="s">
        <v>10</v>
      </c>
      <c r="O38">
        <v>44</v>
      </c>
      <c r="P38">
        <f t="shared" si="0"/>
        <v>0</v>
      </c>
    </row>
    <row r="39" spans="1:16">
      <c r="A39" s="8" t="s">
        <v>39</v>
      </c>
      <c r="B39" s="9">
        <v>87215</v>
      </c>
      <c r="C39" s="9" t="s">
        <v>7</v>
      </c>
      <c r="D39" s="9" t="s">
        <v>40</v>
      </c>
      <c r="E39" s="9" t="s">
        <v>11</v>
      </c>
      <c r="F39" s="9" t="s">
        <v>14</v>
      </c>
      <c r="G39" s="10">
        <v>47</v>
      </c>
      <c r="K39" t="s">
        <v>39</v>
      </c>
      <c r="L39">
        <v>87215</v>
      </c>
      <c r="M39" t="s">
        <v>100</v>
      </c>
      <c r="N39" t="s">
        <v>14</v>
      </c>
      <c r="O39">
        <v>47</v>
      </c>
      <c r="P39">
        <f t="shared" si="0"/>
        <v>0</v>
      </c>
    </row>
    <row r="40" spans="1:16">
      <c r="A40" s="3" t="s">
        <v>41</v>
      </c>
      <c r="B40" s="4">
        <v>86426</v>
      </c>
      <c r="C40" s="4" t="s">
        <v>7</v>
      </c>
      <c r="D40" s="4" t="s">
        <v>26</v>
      </c>
      <c r="E40" s="4" t="s">
        <v>9</v>
      </c>
      <c r="F40" s="4" t="s">
        <v>42</v>
      </c>
      <c r="G40" s="5">
        <v>555</v>
      </c>
      <c r="K40" t="s">
        <v>41</v>
      </c>
      <c r="L40">
        <v>86426</v>
      </c>
      <c r="M40" t="s">
        <v>98</v>
      </c>
      <c r="N40" t="s">
        <v>42</v>
      </c>
      <c r="O40">
        <v>555</v>
      </c>
      <c r="P40">
        <f t="shared" si="0"/>
        <v>0</v>
      </c>
    </row>
    <row r="41" spans="1:16">
      <c r="A41" s="8" t="s">
        <v>41</v>
      </c>
      <c r="B41" s="9">
        <v>86426</v>
      </c>
      <c r="C41" s="9" t="s">
        <v>7</v>
      </c>
      <c r="D41" s="9" t="s">
        <v>26</v>
      </c>
      <c r="E41" s="9" t="s">
        <v>11</v>
      </c>
      <c r="F41" s="9" t="s">
        <v>14</v>
      </c>
      <c r="G41" s="10">
        <v>326</v>
      </c>
      <c r="K41" t="s">
        <v>41</v>
      </c>
      <c r="L41">
        <v>86426</v>
      </c>
      <c r="M41" t="s">
        <v>100</v>
      </c>
      <c r="N41" t="s">
        <v>14</v>
      </c>
      <c r="O41">
        <v>326</v>
      </c>
      <c r="P41">
        <f t="shared" si="0"/>
        <v>0</v>
      </c>
    </row>
    <row r="42" spans="1:16">
      <c r="A42" s="3" t="s">
        <v>43</v>
      </c>
      <c r="B42" s="4">
        <v>85370</v>
      </c>
      <c r="C42" s="4" t="s">
        <v>44</v>
      </c>
      <c r="D42" s="4" t="s">
        <v>45</v>
      </c>
      <c r="E42" s="4" t="s">
        <v>9</v>
      </c>
      <c r="F42" s="4" t="s">
        <v>19</v>
      </c>
      <c r="G42" s="5">
        <v>53</v>
      </c>
      <c r="H42">
        <v>1</v>
      </c>
      <c r="I42">
        <f>IF(H42=1,G42,0)</f>
        <v>53</v>
      </c>
      <c r="K42" t="s">
        <v>43</v>
      </c>
      <c r="L42">
        <v>85370</v>
      </c>
      <c r="M42" t="s">
        <v>98</v>
      </c>
      <c r="N42" t="s">
        <v>19</v>
      </c>
      <c r="O42">
        <v>53</v>
      </c>
      <c r="P42">
        <f t="shared" si="0"/>
        <v>0</v>
      </c>
    </row>
    <row r="43" spans="1:16">
      <c r="A43" s="8" t="s">
        <v>43</v>
      </c>
      <c r="B43" s="9">
        <v>85370</v>
      </c>
      <c r="C43" s="9" t="s">
        <v>44</v>
      </c>
      <c r="D43" s="9" t="s">
        <v>45</v>
      </c>
      <c r="E43" s="9" t="s">
        <v>11</v>
      </c>
      <c r="F43" s="9" t="s">
        <v>14</v>
      </c>
      <c r="G43" s="10">
        <v>56</v>
      </c>
      <c r="K43" t="s">
        <v>43</v>
      </c>
      <c r="L43">
        <v>85370</v>
      </c>
      <c r="M43" t="s">
        <v>100</v>
      </c>
      <c r="N43" t="s">
        <v>14</v>
      </c>
      <c r="O43">
        <v>56</v>
      </c>
      <c r="P43">
        <f t="shared" si="0"/>
        <v>0</v>
      </c>
    </row>
    <row r="44" spans="1:16">
      <c r="A44" s="3" t="s">
        <v>46</v>
      </c>
      <c r="B44" s="4">
        <v>86422</v>
      </c>
      <c r="C44" s="4" t="s">
        <v>7</v>
      </c>
      <c r="D44" s="4" t="s">
        <v>47</v>
      </c>
      <c r="E44" s="4" t="s">
        <v>9</v>
      </c>
      <c r="F44" s="4" t="s">
        <v>19</v>
      </c>
      <c r="G44" s="5">
        <v>72</v>
      </c>
      <c r="H44">
        <v>1</v>
      </c>
      <c r="I44">
        <f>IF(H44=1,G44,0)</f>
        <v>72</v>
      </c>
      <c r="K44" t="s">
        <v>46</v>
      </c>
      <c r="L44">
        <v>86422</v>
      </c>
      <c r="M44" t="s">
        <v>98</v>
      </c>
      <c r="N44" t="s">
        <v>19</v>
      </c>
      <c r="O44">
        <v>72</v>
      </c>
      <c r="P44">
        <f t="shared" si="0"/>
        <v>0</v>
      </c>
    </row>
    <row r="45" spans="1:16">
      <c r="A45" s="8" t="s">
        <v>46</v>
      </c>
      <c r="B45" s="9">
        <v>86422</v>
      </c>
      <c r="C45" s="9" t="s">
        <v>7</v>
      </c>
      <c r="D45" s="9" t="s">
        <v>47</v>
      </c>
      <c r="E45" s="9" t="s">
        <v>11</v>
      </c>
      <c r="F45" s="9" t="s">
        <v>14</v>
      </c>
      <c r="G45" s="10">
        <v>64</v>
      </c>
      <c r="K45" t="s">
        <v>46</v>
      </c>
      <c r="L45">
        <v>86422</v>
      </c>
      <c r="M45" t="s">
        <v>100</v>
      </c>
      <c r="N45" t="s">
        <v>14</v>
      </c>
      <c r="O45">
        <v>64</v>
      </c>
      <c r="P45">
        <f t="shared" si="0"/>
        <v>0</v>
      </c>
    </row>
    <row r="46" spans="1:16">
      <c r="A46" s="3" t="s">
        <v>48</v>
      </c>
      <c r="B46" s="4">
        <v>87456</v>
      </c>
      <c r="C46" s="4" t="s">
        <v>7</v>
      </c>
      <c r="D46" s="4" t="s">
        <v>49</v>
      </c>
      <c r="E46" s="4" t="s">
        <v>9</v>
      </c>
      <c r="F46" s="4" t="s">
        <v>19</v>
      </c>
      <c r="G46" s="5">
        <v>29</v>
      </c>
      <c r="H46">
        <v>1</v>
      </c>
      <c r="I46">
        <f>IF(H46=1,G46,0)</f>
        <v>29</v>
      </c>
      <c r="K46" t="s">
        <v>48</v>
      </c>
      <c r="L46">
        <v>87456</v>
      </c>
      <c r="M46" t="s">
        <v>98</v>
      </c>
      <c r="N46" t="s">
        <v>19</v>
      </c>
      <c r="O46">
        <v>29</v>
      </c>
      <c r="P46">
        <f t="shared" si="0"/>
        <v>0</v>
      </c>
    </row>
    <row r="47" spans="1:16">
      <c r="A47" s="6" t="s">
        <v>48</v>
      </c>
      <c r="B47">
        <v>87456</v>
      </c>
      <c r="C47" t="s">
        <v>7</v>
      </c>
      <c r="D47" t="s">
        <v>49</v>
      </c>
      <c r="E47" t="s">
        <v>11</v>
      </c>
      <c r="F47" t="s">
        <v>14</v>
      </c>
      <c r="G47" s="7">
        <v>28</v>
      </c>
      <c r="K47" t="s">
        <v>48</v>
      </c>
      <c r="L47">
        <v>87456</v>
      </c>
      <c r="M47" t="s">
        <v>100</v>
      </c>
      <c r="N47" t="s">
        <v>14</v>
      </c>
      <c r="O47">
        <v>28</v>
      </c>
      <c r="P47">
        <f t="shared" si="0"/>
        <v>0</v>
      </c>
    </row>
    <row r="48" spans="1:16">
      <c r="A48" s="6" t="s">
        <v>48</v>
      </c>
      <c r="B48">
        <v>87457</v>
      </c>
      <c r="C48" t="s">
        <v>7</v>
      </c>
      <c r="D48" t="s">
        <v>49</v>
      </c>
      <c r="E48" t="s">
        <v>9</v>
      </c>
      <c r="F48" t="s">
        <v>19</v>
      </c>
      <c r="G48" s="7">
        <v>29</v>
      </c>
      <c r="I48">
        <f>IF(H48=1,G48,0)</f>
        <v>0</v>
      </c>
      <c r="K48" t="s">
        <v>48</v>
      </c>
      <c r="L48">
        <v>87457</v>
      </c>
      <c r="M48" t="s">
        <v>98</v>
      </c>
      <c r="N48" t="s">
        <v>19</v>
      </c>
      <c r="O48">
        <v>29</v>
      </c>
      <c r="P48">
        <f t="shared" si="0"/>
        <v>0</v>
      </c>
    </row>
    <row r="49" spans="1:16">
      <c r="A49" s="8" t="s">
        <v>48</v>
      </c>
      <c r="B49" s="9">
        <v>87457</v>
      </c>
      <c r="C49" s="9" t="s">
        <v>7</v>
      </c>
      <c r="D49" s="9" t="s">
        <v>49</v>
      </c>
      <c r="E49" s="9" t="s">
        <v>11</v>
      </c>
      <c r="F49" s="9" t="s">
        <v>12</v>
      </c>
      <c r="G49" s="10">
        <v>28</v>
      </c>
      <c r="K49" t="s">
        <v>48</v>
      </c>
      <c r="L49">
        <v>87457</v>
      </c>
      <c r="M49" t="s">
        <v>100</v>
      </c>
      <c r="N49" t="s">
        <v>12</v>
      </c>
      <c r="O49">
        <v>28</v>
      </c>
      <c r="P49">
        <f t="shared" si="0"/>
        <v>0</v>
      </c>
    </row>
    <row r="50" spans="1:16">
      <c r="A50" s="3" t="s">
        <v>50</v>
      </c>
      <c r="B50" s="4">
        <v>87242</v>
      </c>
      <c r="C50" s="4" t="s">
        <v>7</v>
      </c>
      <c r="D50" s="4" t="s">
        <v>51</v>
      </c>
      <c r="E50" s="4" t="s">
        <v>9</v>
      </c>
      <c r="F50" s="4" t="s">
        <v>52</v>
      </c>
      <c r="G50" s="5">
        <v>35</v>
      </c>
      <c r="K50" t="s">
        <v>50</v>
      </c>
      <c r="L50">
        <v>87242</v>
      </c>
      <c r="M50" t="s">
        <v>98</v>
      </c>
      <c r="N50" t="s">
        <v>52</v>
      </c>
      <c r="O50">
        <v>35</v>
      </c>
      <c r="P50">
        <f t="shared" si="0"/>
        <v>0</v>
      </c>
    </row>
    <row r="51" spans="1:16">
      <c r="A51" s="6" t="s">
        <v>50</v>
      </c>
      <c r="B51">
        <v>87242</v>
      </c>
      <c r="C51" t="s">
        <v>7</v>
      </c>
      <c r="D51" t="s">
        <v>51</v>
      </c>
      <c r="E51" t="s">
        <v>11</v>
      </c>
      <c r="F51" t="s">
        <v>10</v>
      </c>
      <c r="G51" s="7">
        <v>35</v>
      </c>
      <c r="H51">
        <v>1</v>
      </c>
      <c r="K51" t="s">
        <v>50</v>
      </c>
      <c r="L51">
        <v>87242</v>
      </c>
      <c r="M51" t="s">
        <v>100</v>
      </c>
      <c r="N51" t="s">
        <v>10</v>
      </c>
      <c r="O51">
        <v>35</v>
      </c>
      <c r="P51">
        <f t="shared" si="0"/>
        <v>0</v>
      </c>
    </row>
    <row r="52" spans="1:16">
      <c r="A52" s="6" t="s">
        <v>50</v>
      </c>
      <c r="B52">
        <v>89444</v>
      </c>
      <c r="C52" t="s">
        <v>7</v>
      </c>
      <c r="D52" t="s">
        <v>51</v>
      </c>
      <c r="E52" t="s">
        <v>9</v>
      </c>
      <c r="F52" t="s">
        <v>52</v>
      </c>
      <c r="G52" s="7">
        <v>35</v>
      </c>
      <c r="K52" t="s">
        <v>50</v>
      </c>
      <c r="L52" t="s">
        <v>53</v>
      </c>
      <c r="M52" t="s">
        <v>98</v>
      </c>
      <c r="N52" t="s">
        <v>10</v>
      </c>
      <c r="O52">
        <v>35</v>
      </c>
      <c r="P52">
        <f t="shared" si="0"/>
        <v>0</v>
      </c>
    </row>
    <row r="53" spans="1:16">
      <c r="A53" s="6" t="s">
        <v>50</v>
      </c>
      <c r="B53">
        <v>89444</v>
      </c>
      <c r="C53" t="s">
        <v>7</v>
      </c>
      <c r="D53" t="s">
        <v>51</v>
      </c>
      <c r="E53" t="s">
        <v>11</v>
      </c>
      <c r="F53" t="s">
        <v>14</v>
      </c>
      <c r="G53" s="7">
        <v>28</v>
      </c>
      <c r="K53" t="s">
        <v>50</v>
      </c>
      <c r="L53" t="s">
        <v>53</v>
      </c>
      <c r="M53" t="s">
        <v>100</v>
      </c>
      <c r="N53" t="s">
        <v>14</v>
      </c>
      <c r="O53">
        <v>28</v>
      </c>
      <c r="P53">
        <f t="shared" si="0"/>
        <v>0</v>
      </c>
    </row>
    <row r="54" spans="1:16">
      <c r="A54" s="6" t="s">
        <v>50</v>
      </c>
      <c r="B54" t="s">
        <v>53</v>
      </c>
      <c r="C54" t="s">
        <v>7</v>
      </c>
      <c r="D54" t="s">
        <v>51</v>
      </c>
      <c r="E54" t="s">
        <v>9</v>
      </c>
      <c r="F54" t="s">
        <v>10</v>
      </c>
      <c r="G54" s="7">
        <v>35</v>
      </c>
      <c r="K54" t="s">
        <v>50</v>
      </c>
      <c r="L54">
        <v>89444</v>
      </c>
      <c r="M54" t="s">
        <v>98</v>
      </c>
      <c r="N54" t="s">
        <v>52</v>
      </c>
      <c r="O54">
        <v>35</v>
      </c>
      <c r="P54">
        <f t="shared" si="0"/>
        <v>0</v>
      </c>
    </row>
    <row r="55" spans="1:16">
      <c r="A55" s="8" t="s">
        <v>50</v>
      </c>
      <c r="B55" s="9" t="s">
        <v>53</v>
      </c>
      <c r="C55" s="9" t="s">
        <v>7</v>
      </c>
      <c r="D55" s="9" t="s">
        <v>51</v>
      </c>
      <c r="E55" s="9" t="s">
        <v>11</v>
      </c>
      <c r="F55" s="9" t="s">
        <v>14</v>
      </c>
      <c r="G55" s="10">
        <v>28</v>
      </c>
      <c r="K55" t="s">
        <v>50</v>
      </c>
      <c r="L55">
        <v>89444</v>
      </c>
      <c r="M55" t="s">
        <v>100</v>
      </c>
      <c r="N55" t="s">
        <v>14</v>
      </c>
      <c r="O55">
        <v>28</v>
      </c>
      <c r="P55">
        <f t="shared" si="0"/>
        <v>0</v>
      </c>
    </row>
    <row r="56" spans="1:16">
      <c r="A56" s="3" t="s">
        <v>54</v>
      </c>
      <c r="B56" s="4" t="s">
        <v>55</v>
      </c>
      <c r="C56" s="4" t="s">
        <v>7</v>
      </c>
      <c r="D56" s="4" t="s">
        <v>56</v>
      </c>
      <c r="E56" s="4" t="s">
        <v>9</v>
      </c>
      <c r="F56" s="4" t="s">
        <v>10</v>
      </c>
      <c r="G56" s="5">
        <v>18</v>
      </c>
      <c r="H56">
        <v>1</v>
      </c>
      <c r="K56" t="s">
        <v>54</v>
      </c>
      <c r="L56" t="s">
        <v>55</v>
      </c>
      <c r="M56" t="s">
        <v>98</v>
      </c>
      <c r="N56" t="s">
        <v>10</v>
      </c>
      <c r="O56">
        <v>18</v>
      </c>
      <c r="P56">
        <f t="shared" si="0"/>
        <v>0</v>
      </c>
    </row>
    <row r="57" spans="1:16">
      <c r="A57" s="6" t="s">
        <v>54</v>
      </c>
      <c r="B57" t="s">
        <v>55</v>
      </c>
      <c r="C57" t="s">
        <v>7</v>
      </c>
      <c r="D57" t="s">
        <v>56</v>
      </c>
      <c r="E57" t="s">
        <v>11</v>
      </c>
      <c r="F57" t="s">
        <v>14</v>
      </c>
      <c r="G57" s="7">
        <v>14</v>
      </c>
      <c r="K57" t="s">
        <v>54</v>
      </c>
      <c r="L57" t="s">
        <v>55</v>
      </c>
      <c r="M57" t="s">
        <v>100</v>
      </c>
      <c r="N57" t="s">
        <v>14</v>
      </c>
      <c r="O57">
        <v>14</v>
      </c>
      <c r="P57">
        <f t="shared" si="0"/>
        <v>0</v>
      </c>
    </row>
    <row r="58" spans="1:16">
      <c r="A58" s="6" t="s">
        <v>54</v>
      </c>
      <c r="B58" t="s">
        <v>57</v>
      </c>
      <c r="C58" t="s">
        <v>7</v>
      </c>
      <c r="D58" t="s">
        <v>56</v>
      </c>
      <c r="E58" t="s">
        <v>9</v>
      </c>
      <c r="F58" t="s">
        <v>10</v>
      </c>
      <c r="G58" s="7">
        <v>19</v>
      </c>
      <c r="K58" t="s">
        <v>54</v>
      </c>
      <c r="L58" t="s">
        <v>57</v>
      </c>
      <c r="M58" t="s">
        <v>98</v>
      </c>
      <c r="N58" t="s">
        <v>10</v>
      </c>
      <c r="O58">
        <v>19</v>
      </c>
      <c r="P58">
        <f t="shared" si="0"/>
        <v>0</v>
      </c>
    </row>
    <row r="59" spans="1:16">
      <c r="A59" s="8" t="s">
        <v>54</v>
      </c>
      <c r="B59" s="9" t="s">
        <v>57</v>
      </c>
      <c r="C59" s="9" t="s">
        <v>7</v>
      </c>
      <c r="D59" s="9" t="s">
        <v>56</v>
      </c>
      <c r="E59" s="9" t="s">
        <v>11</v>
      </c>
      <c r="F59" s="9" t="s">
        <v>14</v>
      </c>
      <c r="G59" s="10">
        <v>14</v>
      </c>
      <c r="K59" t="s">
        <v>54</v>
      </c>
      <c r="L59" t="s">
        <v>57</v>
      </c>
      <c r="M59" t="s">
        <v>100</v>
      </c>
      <c r="N59" t="s">
        <v>14</v>
      </c>
      <c r="O59">
        <v>14</v>
      </c>
      <c r="P59">
        <f t="shared" si="0"/>
        <v>0</v>
      </c>
    </row>
    <row r="60" spans="1:16">
      <c r="A60" s="3" t="s">
        <v>58</v>
      </c>
      <c r="B60" s="4">
        <v>87196</v>
      </c>
      <c r="C60" s="4" t="s">
        <v>7</v>
      </c>
      <c r="D60" s="4" t="s">
        <v>59</v>
      </c>
      <c r="E60" s="4" t="s">
        <v>9</v>
      </c>
      <c r="F60" s="4" t="s">
        <v>52</v>
      </c>
      <c r="G60" s="5">
        <v>91</v>
      </c>
      <c r="K60" t="s">
        <v>58</v>
      </c>
      <c r="L60">
        <v>87196</v>
      </c>
      <c r="M60" t="s">
        <v>98</v>
      </c>
      <c r="N60" t="s">
        <v>52</v>
      </c>
      <c r="O60">
        <v>91</v>
      </c>
      <c r="P60">
        <f t="shared" si="0"/>
        <v>0</v>
      </c>
    </row>
    <row r="61" spans="1:16">
      <c r="A61" s="6" t="s">
        <v>58</v>
      </c>
      <c r="B61">
        <v>87196</v>
      </c>
      <c r="C61" t="s">
        <v>7</v>
      </c>
      <c r="D61" t="s">
        <v>59</v>
      </c>
      <c r="E61" t="s">
        <v>11</v>
      </c>
      <c r="F61" t="s">
        <v>14</v>
      </c>
      <c r="G61" s="7">
        <v>78</v>
      </c>
      <c r="K61" t="s">
        <v>58</v>
      </c>
      <c r="L61">
        <v>87196</v>
      </c>
      <c r="M61" t="s">
        <v>100</v>
      </c>
      <c r="N61" t="s">
        <v>14</v>
      </c>
      <c r="O61">
        <v>78</v>
      </c>
      <c r="P61">
        <f t="shared" si="0"/>
        <v>0</v>
      </c>
    </row>
    <row r="62" spans="1:16">
      <c r="A62" s="6" t="s">
        <v>58</v>
      </c>
      <c r="B62">
        <v>87222</v>
      </c>
      <c r="C62" t="s">
        <v>7</v>
      </c>
      <c r="D62" t="s">
        <v>60</v>
      </c>
      <c r="E62" t="s">
        <v>9</v>
      </c>
      <c r="F62" t="s">
        <v>10</v>
      </c>
      <c r="G62" s="7">
        <v>96</v>
      </c>
      <c r="H62">
        <v>1</v>
      </c>
      <c r="K62" t="s">
        <v>58</v>
      </c>
      <c r="L62">
        <v>87222</v>
      </c>
      <c r="M62" t="s">
        <v>98</v>
      </c>
      <c r="N62" t="s">
        <v>10</v>
      </c>
      <c r="O62">
        <v>96</v>
      </c>
      <c r="P62">
        <f t="shared" si="0"/>
        <v>0</v>
      </c>
    </row>
    <row r="63" spans="1:16">
      <c r="A63" s="8" t="s">
        <v>58</v>
      </c>
      <c r="B63" s="9">
        <v>87222</v>
      </c>
      <c r="C63" s="9" t="s">
        <v>7</v>
      </c>
      <c r="D63" s="9" t="s">
        <v>60</v>
      </c>
      <c r="E63" s="9" t="s">
        <v>11</v>
      </c>
      <c r="F63" s="9" t="s">
        <v>14</v>
      </c>
      <c r="G63" s="10">
        <v>78</v>
      </c>
      <c r="K63" t="s">
        <v>58</v>
      </c>
      <c r="L63">
        <v>87222</v>
      </c>
      <c r="M63" t="s">
        <v>100</v>
      </c>
      <c r="N63" t="s">
        <v>14</v>
      </c>
      <c r="O63">
        <v>78</v>
      </c>
      <c r="P63">
        <f t="shared" si="0"/>
        <v>0</v>
      </c>
    </row>
    <row r="64" spans="1:16">
      <c r="A64" s="3" t="s">
        <v>61</v>
      </c>
      <c r="B64" s="4">
        <v>87219</v>
      </c>
      <c r="C64" s="4" t="s">
        <v>7</v>
      </c>
      <c r="D64" s="4" t="s">
        <v>62</v>
      </c>
      <c r="E64" s="4" t="s">
        <v>9</v>
      </c>
      <c r="F64" s="4" t="s">
        <v>12</v>
      </c>
      <c r="G64" s="5">
        <v>33</v>
      </c>
      <c r="K64" t="s">
        <v>61</v>
      </c>
      <c r="L64">
        <v>87219</v>
      </c>
      <c r="M64" t="s">
        <v>98</v>
      </c>
      <c r="N64" t="s">
        <v>12</v>
      </c>
      <c r="O64">
        <v>33</v>
      </c>
      <c r="P64">
        <f t="shared" si="0"/>
        <v>0</v>
      </c>
    </row>
    <row r="65" spans="1:16">
      <c r="A65" s="6" t="s">
        <v>61</v>
      </c>
      <c r="B65">
        <v>87219</v>
      </c>
      <c r="C65" t="s">
        <v>7</v>
      </c>
      <c r="D65" t="s">
        <v>62</v>
      </c>
      <c r="E65" t="s">
        <v>11</v>
      </c>
      <c r="F65" t="s">
        <v>14</v>
      </c>
      <c r="G65" s="7">
        <v>33</v>
      </c>
      <c r="K65" t="s">
        <v>61</v>
      </c>
      <c r="L65">
        <v>87219</v>
      </c>
      <c r="M65" t="s">
        <v>100</v>
      </c>
      <c r="N65" t="s">
        <v>14</v>
      </c>
      <c r="O65">
        <v>33</v>
      </c>
      <c r="P65">
        <f t="shared" si="0"/>
        <v>0</v>
      </c>
    </row>
    <row r="66" spans="1:16">
      <c r="A66" s="6" t="s">
        <v>61</v>
      </c>
      <c r="B66">
        <v>87220</v>
      </c>
      <c r="C66" t="s">
        <v>7</v>
      </c>
      <c r="D66" t="s">
        <v>62</v>
      </c>
      <c r="E66" t="s">
        <v>9</v>
      </c>
      <c r="F66" t="s">
        <v>12</v>
      </c>
      <c r="G66" s="7">
        <v>35</v>
      </c>
      <c r="K66" t="s">
        <v>61</v>
      </c>
      <c r="L66">
        <v>87220</v>
      </c>
      <c r="M66" t="s">
        <v>98</v>
      </c>
      <c r="N66" t="s">
        <v>12</v>
      </c>
      <c r="O66">
        <v>35</v>
      </c>
      <c r="P66">
        <f t="shared" si="0"/>
        <v>0</v>
      </c>
    </row>
    <row r="67" spans="1:16">
      <c r="A67" s="8" t="s">
        <v>61</v>
      </c>
      <c r="B67" s="9">
        <v>87220</v>
      </c>
      <c r="C67" s="9" t="s">
        <v>7</v>
      </c>
      <c r="D67" s="9" t="s">
        <v>62</v>
      </c>
      <c r="E67" s="9" t="s">
        <v>11</v>
      </c>
      <c r="F67" s="9" t="s">
        <v>14</v>
      </c>
      <c r="G67" s="10">
        <v>33</v>
      </c>
      <c r="K67" t="s">
        <v>61</v>
      </c>
      <c r="L67">
        <v>87220</v>
      </c>
      <c r="M67" t="s">
        <v>100</v>
      </c>
      <c r="N67" t="s">
        <v>14</v>
      </c>
      <c r="O67">
        <v>33</v>
      </c>
      <c r="P67">
        <f t="shared" ref="P67:P109" si="1">O67-G67</f>
        <v>0</v>
      </c>
    </row>
    <row r="68" spans="1:16">
      <c r="A68" s="3" t="s">
        <v>63</v>
      </c>
      <c r="B68" s="4">
        <v>88220</v>
      </c>
      <c r="C68" s="4" t="s">
        <v>44</v>
      </c>
      <c r="D68" s="4" t="s">
        <v>64</v>
      </c>
      <c r="E68" s="4" t="s">
        <v>9</v>
      </c>
      <c r="F68" s="4" t="s">
        <v>19</v>
      </c>
      <c r="G68" s="5">
        <v>22</v>
      </c>
      <c r="H68">
        <v>1</v>
      </c>
      <c r="I68">
        <f>IF(H68=1,G68,0)</f>
        <v>22</v>
      </c>
      <c r="K68" t="s">
        <v>63</v>
      </c>
      <c r="L68">
        <v>88220</v>
      </c>
      <c r="M68" t="s">
        <v>98</v>
      </c>
      <c r="N68" t="s">
        <v>19</v>
      </c>
      <c r="O68">
        <v>22</v>
      </c>
      <c r="P68">
        <f t="shared" si="1"/>
        <v>0</v>
      </c>
    </row>
    <row r="69" spans="1:16">
      <c r="A69" s="8" t="s">
        <v>63</v>
      </c>
      <c r="B69" s="9">
        <v>88220</v>
      </c>
      <c r="C69" s="9" t="s">
        <v>44</v>
      </c>
      <c r="D69" s="9" t="s">
        <v>64</v>
      </c>
      <c r="E69" s="9" t="s">
        <v>11</v>
      </c>
      <c r="F69" s="9" t="s">
        <v>14</v>
      </c>
      <c r="G69" s="10">
        <v>16</v>
      </c>
      <c r="K69" t="s">
        <v>63</v>
      </c>
      <c r="L69">
        <v>88220</v>
      </c>
      <c r="M69" t="s">
        <v>100</v>
      </c>
      <c r="N69" t="s">
        <v>14</v>
      </c>
      <c r="O69">
        <v>16</v>
      </c>
      <c r="P69">
        <f t="shared" si="1"/>
        <v>0</v>
      </c>
    </row>
    <row r="70" spans="1:16">
      <c r="A70" s="3" t="s">
        <v>65</v>
      </c>
      <c r="B70" s="4">
        <v>88224</v>
      </c>
      <c r="C70" s="4" t="s">
        <v>7</v>
      </c>
      <c r="D70" s="4" t="s">
        <v>66</v>
      </c>
      <c r="E70" s="4" t="s">
        <v>9</v>
      </c>
      <c r="F70" s="4" t="s">
        <v>19</v>
      </c>
      <c r="G70" s="5">
        <v>18</v>
      </c>
      <c r="H70">
        <v>1</v>
      </c>
      <c r="I70">
        <f>IF(H70=1,G70,0)</f>
        <v>18</v>
      </c>
      <c r="K70" t="s">
        <v>65</v>
      </c>
      <c r="L70">
        <v>88224</v>
      </c>
      <c r="M70" t="s">
        <v>98</v>
      </c>
      <c r="N70" t="s">
        <v>19</v>
      </c>
      <c r="O70">
        <v>18</v>
      </c>
      <c r="P70">
        <f t="shared" si="1"/>
        <v>0</v>
      </c>
    </row>
    <row r="71" spans="1:16">
      <c r="A71" s="8" t="s">
        <v>65</v>
      </c>
      <c r="B71" s="9">
        <v>88224</v>
      </c>
      <c r="C71" s="9" t="s">
        <v>7</v>
      </c>
      <c r="D71" s="9" t="s">
        <v>66</v>
      </c>
      <c r="E71" s="9" t="s">
        <v>11</v>
      </c>
      <c r="F71" s="9" t="s">
        <v>14</v>
      </c>
      <c r="G71" s="10">
        <v>11</v>
      </c>
      <c r="K71" t="s">
        <v>65</v>
      </c>
      <c r="L71">
        <v>88224</v>
      </c>
      <c r="M71" t="s">
        <v>100</v>
      </c>
      <c r="N71" t="s">
        <v>14</v>
      </c>
      <c r="O71">
        <v>11</v>
      </c>
      <c r="P71">
        <f t="shared" si="1"/>
        <v>0</v>
      </c>
    </row>
    <row r="72" spans="1:16">
      <c r="A72" s="3" t="s">
        <v>67</v>
      </c>
      <c r="B72" s="4">
        <v>88222</v>
      </c>
      <c r="C72" s="4" t="s">
        <v>7</v>
      </c>
      <c r="D72" s="4" t="s">
        <v>68</v>
      </c>
      <c r="E72" s="4" t="s">
        <v>9</v>
      </c>
      <c r="F72" s="4" t="s">
        <v>19</v>
      </c>
      <c r="G72" s="5">
        <v>17</v>
      </c>
      <c r="H72">
        <v>1</v>
      </c>
      <c r="I72">
        <f>IF(H72=1,G72,0)</f>
        <v>17</v>
      </c>
      <c r="K72" t="s">
        <v>67</v>
      </c>
      <c r="L72">
        <v>88222</v>
      </c>
      <c r="M72" t="s">
        <v>98</v>
      </c>
      <c r="N72" t="s">
        <v>19</v>
      </c>
      <c r="O72">
        <v>17</v>
      </c>
      <c r="P72">
        <f t="shared" si="1"/>
        <v>0</v>
      </c>
    </row>
    <row r="73" spans="1:16">
      <c r="A73" s="8" t="s">
        <v>67</v>
      </c>
      <c r="B73" s="9">
        <v>88222</v>
      </c>
      <c r="C73" s="9" t="s">
        <v>7</v>
      </c>
      <c r="D73" s="9" t="s">
        <v>68</v>
      </c>
      <c r="E73" s="9" t="s">
        <v>11</v>
      </c>
      <c r="F73" s="9" t="s">
        <v>14</v>
      </c>
      <c r="G73" s="10">
        <v>16</v>
      </c>
      <c r="K73" t="s">
        <v>67</v>
      </c>
      <c r="L73">
        <v>88222</v>
      </c>
      <c r="M73" t="s">
        <v>100</v>
      </c>
      <c r="N73" t="s">
        <v>14</v>
      </c>
      <c r="O73">
        <v>16</v>
      </c>
      <c r="P73">
        <f t="shared" si="1"/>
        <v>0</v>
      </c>
    </row>
    <row r="74" spans="1:16">
      <c r="A74" s="3" t="s">
        <v>69</v>
      </c>
      <c r="B74" s="4">
        <v>87461</v>
      </c>
      <c r="C74" s="4" t="s">
        <v>44</v>
      </c>
      <c r="D74" s="4" t="s">
        <v>70</v>
      </c>
      <c r="E74" s="4" t="s">
        <v>9</v>
      </c>
      <c r="F74" s="4" t="s">
        <v>19</v>
      </c>
      <c r="G74" s="5">
        <v>15</v>
      </c>
      <c r="H74">
        <v>1</v>
      </c>
      <c r="I74">
        <f>IF(H74=1,G74,0)</f>
        <v>15</v>
      </c>
      <c r="K74" t="s">
        <v>69</v>
      </c>
      <c r="L74">
        <v>87461</v>
      </c>
      <c r="M74" t="s">
        <v>98</v>
      </c>
      <c r="N74" t="s">
        <v>19</v>
      </c>
      <c r="O74">
        <v>15</v>
      </c>
      <c r="P74">
        <f t="shared" si="1"/>
        <v>0</v>
      </c>
    </row>
    <row r="75" spans="1:16">
      <c r="A75" s="8" t="s">
        <v>69</v>
      </c>
      <c r="B75" s="9">
        <v>87461</v>
      </c>
      <c r="C75" s="9" t="s">
        <v>44</v>
      </c>
      <c r="D75" s="9" t="s">
        <v>70</v>
      </c>
      <c r="E75" s="9" t="s">
        <v>11</v>
      </c>
      <c r="F75" s="9" t="s">
        <v>14</v>
      </c>
      <c r="G75" s="10">
        <v>17</v>
      </c>
      <c r="K75" t="s">
        <v>69</v>
      </c>
      <c r="L75">
        <v>87461</v>
      </c>
      <c r="M75" t="s">
        <v>100</v>
      </c>
      <c r="N75" t="s">
        <v>14</v>
      </c>
      <c r="O75">
        <v>17</v>
      </c>
      <c r="P75">
        <f t="shared" si="1"/>
        <v>0</v>
      </c>
    </row>
    <row r="76" spans="1:16">
      <c r="A76" s="3" t="s">
        <v>71</v>
      </c>
      <c r="B76" s="4">
        <v>87210</v>
      </c>
      <c r="C76" s="4" t="s">
        <v>7</v>
      </c>
      <c r="D76" s="4" t="s">
        <v>72</v>
      </c>
      <c r="E76" s="4" t="s">
        <v>9</v>
      </c>
      <c r="F76" s="4" t="s">
        <v>10</v>
      </c>
      <c r="G76" s="5">
        <v>195</v>
      </c>
      <c r="H76">
        <v>1</v>
      </c>
      <c r="K76" t="s">
        <v>71</v>
      </c>
      <c r="L76">
        <v>87210</v>
      </c>
      <c r="M76" t="s">
        <v>98</v>
      </c>
      <c r="N76" t="s">
        <v>10</v>
      </c>
      <c r="O76">
        <v>195</v>
      </c>
      <c r="P76">
        <f t="shared" si="1"/>
        <v>0</v>
      </c>
    </row>
    <row r="77" spans="1:16">
      <c r="A77" s="6" t="s">
        <v>71</v>
      </c>
      <c r="B77">
        <v>87210</v>
      </c>
      <c r="C77" t="s">
        <v>7</v>
      </c>
      <c r="D77" t="s">
        <v>72</v>
      </c>
      <c r="E77" t="s">
        <v>11</v>
      </c>
      <c r="F77" t="s">
        <v>19</v>
      </c>
      <c r="G77" s="7">
        <v>190</v>
      </c>
      <c r="H77">
        <v>1</v>
      </c>
      <c r="I77">
        <f>IF(H77=1,G77,0)</f>
        <v>190</v>
      </c>
      <c r="K77" t="s">
        <v>71</v>
      </c>
      <c r="L77">
        <v>87210</v>
      </c>
      <c r="M77" t="s">
        <v>100</v>
      </c>
      <c r="N77" t="s">
        <v>19</v>
      </c>
      <c r="O77">
        <v>190</v>
      </c>
      <c r="P77">
        <f t="shared" si="1"/>
        <v>0</v>
      </c>
    </row>
    <row r="78" spans="1:16">
      <c r="A78" s="6" t="s">
        <v>71</v>
      </c>
      <c r="B78">
        <v>89408</v>
      </c>
      <c r="C78" t="s">
        <v>7</v>
      </c>
      <c r="D78" t="s">
        <v>72</v>
      </c>
      <c r="E78" t="s">
        <v>9</v>
      </c>
      <c r="F78" t="s">
        <v>10</v>
      </c>
      <c r="G78" s="7">
        <v>195</v>
      </c>
      <c r="K78" t="s">
        <v>71</v>
      </c>
      <c r="L78" t="s">
        <v>73</v>
      </c>
      <c r="M78" t="s">
        <v>98</v>
      </c>
      <c r="N78" t="s">
        <v>19</v>
      </c>
      <c r="O78">
        <v>190</v>
      </c>
      <c r="P78">
        <f t="shared" si="1"/>
        <v>-5</v>
      </c>
    </row>
    <row r="79" spans="1:16">
      <c r="A79" s="6" t="s">
        <v>71</v>
      </c>
      <c r="B79">
        <v>89408</v>
      </c>
      <c r="C79" t="s">
        <v>7</v>
      </c>
      <c r="D79" t="s">
        <v>72</v>
      </c>
      <c r="E79" t="s">
        <v>11</v>
      </c>
      <c r="F79" t="s">
        <v>14</v>
      </c>
      <c r="G79" s="7">
        <v>206</v>
      </c>
      <c r="K79" t="s">
        <v>71</v>
      </c>
      <c r="L79" t="s">
        <v>73</v>
      </c>
      <c r="M79" t="s">
        <v>100</v>
      </c>
      <c r="N79" t="s">
        <v>14</v>
      </c>
      <c r="O79">
        <v>206</v>
      </c>
      <c r="P79">
        <f t="shared" si="1"/>
        <v>0</v>
      </c>
    </row>
    <row r="80" spans="1:16">
      <c r="A80" s="6" t="s">
        <v>71</v>
      </c>
      <c r="B80" t="s">
        <v>73</v>
      </c>
      <c r="C80" t="s">
        <v>7</v>
      </c>
      <c r="D80" t="s">
        <v>72</v>
      </c>
      <c r="E80" t="s">
        <v>9</v>
      </c>
      <c r="F80" t="s">
        <v>19</v>
      </c>
      <c r="G80" s="7">
        <v>190</v>
      </c>
      <c r="I80">
        <f>IF(H80=1,G80,0)</f>
        <v>0</v>
      </c>
      <c r="K80" t="s">
        <v>71</v>
      </c>
      <c r="L80">
        <v>89408</v>
      </c>
      <c r="M80" t="s">
        <v>98</v>
      </c>
      <c r="N80" t="s">
        <v>10</v>
      </c>
      <c r="O80">
        <v>195</v>
      </c>
      <c r="P80">
        <f t="shared" si="1"/>
        <v>5</v>
      </c>
    </row>
    <row r="81" spans="1:16">
      <c r="A81" s="8" t="s">
        <v>71</v>
      </c>
      <c r="B81" s="9" t="s">
        <v>73</v>
      </c>
      <c r="C81" s="9" t="s">
        <v>7</v>
      </c>
      <c r="D81" s="9" t="s">
        <v>72</v>
      </c>
      <c r="E81" s="9" t="s">
        <v>11</v>
      </c>
      <c r="F81" s="9" t="s">
        <v>14</v>
      </c>
      <c r="G81" s="10">
        <v>206</v>
      </c>
      <c r="K81" t="s">
        <v>71</v>
      </c>
      <c r="L81">
        <v>89408</v>
      </c>
      <c r="M81" t="s">
        <v>100</v>
      </c>
      <c r="N81" t="s">
        <v>14</v>
      </c>
      <c r="O81">
        <v>206</v>
      </c>
      <c r="P81">
        <f t="shared" si="1"/>
        <v>0</v>
      </c>
    </row>
    <row r="82" spans="1:16">
      <c r="A82" s="3" t="s">
        <v>74</v>
      </c>
      <c r="B82" s="4">
        <v>87462</v>
      </c>
      <c r="C82" s="4" t="s">
        <v>7</v>
      </c>
      <c r="D82" s="4" t="s">
        <v>72</v>
      </c>
      <c r="E82" s="4" t="s">
        <v>9</v>
      </c>
      <c r="F82" s="4" t="s">
        <v>52</v>
      </c>
      <c r="G82" s="5">
        <v>96</v>
      </c>
      <c r="K82" t="s">
        <v>74</v>
      </c>
      <c r="L82">
        <v>87462</v>
      </c>
      <c r="M82" t="s">
        <v>98</v>
      </c>
      <c r="N82" t="s">
        <v>52</v>
      </c>
      <c r="O82">
        <v>99</v>
      </c>
      <c r="P82">
        <f t="shared" si="1"/>
        <v>3</v>
      </c>
    </row>
    <row r="83" spans="1:16">
      <c r="A83" s="6" t="s">
        <v>74</v>
      </c>
      <c r="B83">
        <v>87462</v>
      </c>
      <c r="C83" t="s">
        <v>7</v>
      </c>
      <c r="D83" t="s">
        <v>72</v>
      </c>
      <c r="E83" t="s">
        <v>11</v>
      </c>
      <c r="F83" t="s">
        <v>10</v>
      </c>
      <c r="G83" s="7">
        <v>99</v>
      </c>
      <c r="H83">
        <v>1</v>
      </c>
      <c r="K83" t="s">
        <v>74</v>
      </c>
      <c r="L83">
        <v>87462</v>
      </c>
      <c r="M83" t="s">
        <v>100</v>
      </c>
      <c r="N83" t="s">
        <v>10</v>
      </c>
      <c r="O83">
        <v>96</v>
      </c>
      <c r="P83">
        <f t="shared" si="1"/>
        <v>-3</v>
      </c>
    </row>
    <row r="84" spans="1:16">
      <c r="A84" s="6" t="s">
        <v>74</v>
      </c>
      <c r="B84">
        <v>87464</v>
      </c>
      <c r="C84" t="s">
        <v>7</v>
      </c>
      <c r="D84" t="s">
        <v>72</v>
      </c>
      <c r="E84" t="s">
        <v>9</v>
      </c>
      <c r="F84" t="s">
        <v>75</v>
      </c>
      <c r="G84" s="7">
        <v>92</v>
      </c>
      <c r="K84" t="s">
        <v>74</v>
      </c>
      <c r="L84" t="s">
        <v>76</v>
      </c>
      <c r="M84" t="s">
        <v>98</v>
      </c>
      <c r="N84" t="s">
        <v>52</v>
      </c>
      <c r="O84">
        <v>99</v>
      </c>
      <c r="P84">
        <f t="shared" si="1"/>
        <v>7</v>
      </c>
    </row>
    <row r="85" spans="1:16">
      <c r="A85" s="6" t="s">
        <v>74</v>
      </c>
      <c r="B85">
        <v>87464</v>
      </c>
      <c r="C85" t="s">
        <v>7</v>
      </c>
      <c r="D85" t="s">
        <v>72</v>
      </c>
      <c r="E85" t="s">
        <v>11</v>
      </c>
      <c r="F85" t="s">
        <v>14</v>
      </c>
      <c r="G85" s="7">
        <v>104</v>
      </c>
      <c r="K85" t="s">
        <v>74</v>
      </c>
      <c r="L85" t="s">
        <v>76</v>
      </c>
      <c r="M85" t="s">
        <v>100</v>
      </c>
      <c r="N85" t="s">
        <v>14</v>
      </c>
      <c r="O85">
        <v>104</v>
      </c>
      <c r="P85">
        <f t="shared" si="1"/>
        <v>0</v>
      </c>
    </row>
    <row r="86" spans="1:16">
      <c r="A86" s="6" t="s">
        <v>74</v>
      </c>
      <c r="B86" t="s">
        <v>76</v>
      </c>
      <c r="C86" t="s">
        <v>7</v>
      </c>
      <c r="D86" t="s">
        <v>72</v>
      </c>
      <c r="E86" t="s">
        <v>9</v>
      </c>
      <c r="F86" t="s">
        <v>52</v>
      </c>
      <c r="G86" s="7">
        <v>99</v>
      </c>
      <c r="K86" t="s">
        <v>74</v>
      </c>
      <c r="L86" t="s">
        <v>77</v>
      </c>
      <c r="M86" t="s">
        <v>98</v>
      </c>
      <c r="N86" t="s">
        <v>10</v>
      </c>
      <c r="O86">
        <v>96</v>
      </c>
      <c r="P86">
        <f t="shared" si="1"/>
        <v>-3</v>
      </c>
    </row>
    <row r="87" spans="1:16">
      <c r="A87" s="6" t="s">
        <v>74</v>
      </c>
      <c r="B87" t="s">
        <v>76</v>
      </c>
      <c r="C87" t="s">
        <v>7</v>
      </c>
      <c r="D87" t="s">
        <v>72</v>
      </c>
      <c r="E87" t="s">
        <v>11</v>
      </c>
      <c r="F87" t="s">
        <v>14</v>
      </c>
      <c r="G87" s="7">
        <v>104</v>
      </c>
      <c r="K87" t="s">
        <v>74</v>
      </c>
      <c r="L87" t="s">
        <v>77</v>
      </c>
      <c r="M87" t="s">
        <v>100</v>
      </c>
      <c r="N87" t="s">
        <v>14</v>
      </c>
      <c r="O87">
        <v>104</v>
      </c>
      <c r="P87">
        <f t="shared" si="1"/>
        <v>0</v>
      </c>
    </row>
    <row r="88" spans="1:16">
      <c r="A88" s="6" t="s">
        <v>74</v>
      </c>
      <c r="B88" t="s">
        <v>77</v>
      </c>
      <c r="C88" t="s">
        <v>7</v>
      </c>
      <c r="D88" t="s">
        <v>72</v>
      </c>
      <c r="E88" t="s">
        <v>9</v>
      </c>
      <c r="F88" t="s">
        <v>10</v>
      </c>
      <c r="G88" s="7">
        <v>96</v>
      </c>
      <c r="K88" t="s">
        <v>74</v>
      </c>
      <c r="L88">
        <v>87464</v>
      </c>
      <c r="M88" t="s">
        <v>98</v>
      </c>
      <c r="N88" t="s">
        <v>75</v>
      </c>
      <c r="O88">
        <v>92</v>
      </c>
      <c r="P88">
        <f t="shared" si="1"/>
        <v>-4</v>
      </c>
    </row>
    <row r="89" spans="1:16">
      <c r="A89" s="8" t="s">
        <v>74</v>
      </c>
      <c r="B89" s="9" t="s">
        <v>77</v>
      </c>
      <c r="C89" s="9" t="s">
        <v>7</v>
      </c>
      <c r="D89" s="9" t="s">
        <v>72</v>
      </c>
      <c r="E89" s="9" t="s">
        <v>11</v>
      </c>
      <c r="F89" s="9" t="s">
        <v>14</v>
      </c>
      <c r="G89" s="10">
        <v>104</v>
      </c>
      <c r="K89" t="s">
        <v>74</v>
      </c>
      <c r="L89">
        <v>87464</v>
      </c>
      <c r="M89" t="s">
        <v>100</v>
      </c>
      <c r="N89" t="s">
        <v>14</v>
      </c>
      <c r="O89">
        <v>104</v>
      </c>
      <c r="P89">
        <f t="shared" si="1"/>
        <v>0</v>
      </c>
    </row>
    <row r="90" spans="1:16">
      <c r="A90" s="80" t="s">
        <v>78</v>
      </c>
      <c r="B90" s="81" t="s">
        <v>79</v>
      </c>
      <c r="C90" s="81" t="s">
        <v>7</v>
      </c>
      <c r="D90" s="81" t="s">
        <v>80</v>
      </c>
      <c r="E90" s="81" t="s">
        <v>9</v>
      </c>
      <c r="F90" s="81" t="s">
        <v>19</v>
      </c>
      <c r="G90" s="82">
        <v>239</v>
      </c>
      <c r="H90">
        <v>1</v>
      </c>
      <c r="I90">
        <f>IF(H90=1,G90,0)</f>
        <v>239</v>
      </c>
      <c r="K90" t="s">
        <v>78</v>
      </c>
      <c r="L90" t="s">
        <v>79</v>
      </c>
      <c r="M90" t="s">
        <v>98</v>
      </c>
      <c r="N90" t="s">
        <v>19</v>
      </c>
      <c r="O90">
        <v>240</v>
      </c>
      <c r="P90">
        <f t="shared" si="1"/>
        <v>1</v>
      </c>
    </row>
    <row r="91" spans="1:16">
      <c r="A91" s="6" t="s">
        <v>78</v>
      </c>
      <c r="B91" t="s">
        <v>79</v>
      </c>
      <c r="C91" t="s">
        <v>7</v>
      </c>
      <c r="D91" t="s">
        <v>80</v>
      </c>
      <c r="E91" t="s">
        <v>11</v>
      </c>
      <c r="F91" t="s">
        <v>14</v>
      </c>
      <c r="G91" s="7">
        <v>348</v>
      </c>
      <c r="K91" t="s">
        <v>78</v>
      </c>
      <c r="L91" t="s">
        <v>79</v>
      </c>
      <c r="M91" t="s">
        <v>100</v>
      </c>
      <c r="N91" t="s">
        <v>14</v>
      </c>
      <c r="O91">
        <v>348</v>
      </c>
      <c r="P91">
        <f t="shared" si="1"/>
        <v>0</v>
      </c>
    </row>
    <row r="92" spans="1:16">
      <c r="A92" s="83" t="s">
        <v>78</v>
      </c>
      <c r="B92" s="84" t="s">
        <v>81</v>
      </c>
      <c r="C92" s="84" t="s">
        <v>7</v>
      </c>
      <c r="D92" s="84" t="s">
        <v>80</v>
      </c>
      <c r="E92" s="84" t="s">
        <v>9</v>
      </c>
      <c r="F92" s="84" t="s">
        <v>19</v>
      </c>
      <c r="G92" s="85">
        <v>551</v>
      </c>
      <c r="I92">
        <f>IF(H92=1,G92,0)</f>
        <v>0</v>
      </c>
      <c r="K92" t="s">
        <v>78</v>
      </c>
      <c r="L92" t="s">
        <v>81</v>
      </c>
      <c r="M92" t="s">
        <v>98</v>
      </c>
      <c r="N92" t="s">
        <v>19</v>
      </c>
      <c r="O92">
        <v>558</v>
      </c>
      <c r="P92">
        <f t="shared" si="1"/>
        <v>7</v>
      </c>
    </row>
    <row r="93" spans="1:16">
      <c r="A93" s="8" t="s">
        <v>78</v>
      </c>
      <c r="B93" s="9" t="s">
        <v>81</v>
      </c>
      <c r="C93" s="9" t="s">
        <v>7</v>
      </c>
      <c r="D93" s="9" t="s">
        <v>80</v>
      </c>
      <c r="E93" s="9" t="s">
        <v>11</v>
      </c>
      <c r="F93" s="9" t="s">
        <v>14</v>
      </c>
      <c r="G93" s="10">
        <v>348</v>
      </c>
      <c r="K93" t="s">
        <v>78</v>
      </c>
      <c r="L93" t="s">
        <v>81</v>
      </c>
      <c r="M93" t="s">
        <v>100</v>
      </c>
      <c r="N93" t="s">
        <v>14</v>
      </c>
      <c r="O93">
        <v>348</v>
      </c>
      <c r="P93">
        <f t="shared" si="1"/>
        <v>0</v>
      </c>
    </row>
    <row r="94" spans="1:16">
      <c r="A94" s="3" t="s">
        <v>82</v>
      </c>
      <c r="B94" s="4">
        <v>90475</v>
      </c>
      <c r="C94" s="4" t="s">
        <v>7</v>
      </c>
      <c r="D94" s="4" t="s">
        <v>80</v>
      </c>
      <c r="E94" s="4" t="s">
        <v>9</v>
      </c>
      <c r="F94" s="4" t="s">
        <v>83</v>
      </c>
      <c r="G94" s="5">
        <v>49</v>
      </c>
      <c r="K94" t="s">
        <v>82</v>
      </c>
      <c r="L94">
        <v>90475</v>
      </c>
      <c r="M94" t="s">
        <v>98</v>
      </c>
      <c r="N94" t="s">
        <v>83</v>
      </c>
      <c r="O94">
        <v>49</v>
      </c>
      <c r="P94">
        <f t="shared" si="1"/>
        <v>0</v>
      </c>
    </row>
    <row r="95" spans="1:16">
      <c r="A95" s="8" t="s">
        <v>82</v>
      </c>
      <c r="B95" s="9">
        <v>90475</v>
      </c>
      <c r="C95" s="9" t="s">
        <v>7</v>
      </c>
      <c r="D95" s="9" t="s">
        <v>80</v>
      </c>
      <c r="E95" s="9" t="s">
        <v>11</v>
      </c>
      <c r="F95" s="9" t="s">
        <v>14</v>
      </c>
      <c r="G95" s="10">
        <v>47</v>
      </c>
      <c r="K95" t="s">
        <v>82</v>
      </c>
      <c r="L95">
        <v>90475</v>
      </c>
      <c r="M95" t="s">
        <v>100</v>
      </c>
      <c r="N95" t="s">
        <v>14</v>
      </c>
      <c r="O95">
        <v>47</v>
      </c>
      <c r="P95">
        <f t="shared" si="1"/>
        <v>0</v>
      </c>
    </row>
    <row r="96" spans="1:16">
      <c r="A96" s="3" t="s">
        <v>84</v>
      </c>
      <c r="B96" s="4" t="s">
        <v>85</v>
      </c>
      <c r="C96" s="4" t="s">
        <v>7</v>
      </c>
      <c r="D96" s="4" t="s">
        <v>86</v>
      </c>
      <c r="E96" s="4" t="s">
        <v>9</v>
      </c>
      <c r="F96" s="4" t="s">
        <v>10</v>
      </c>
      <c r="G96" s="5">
        <v>91</v>
      </c>
      <c r="H96">
        <v>1</v>
      </c>
      <c r="K96" t="s">
        <v>84</v>
      </c>
      <c r="L96" t="s">
        <v>85</v>
      </c>
      <c r="M96" t="s">
        <v>98</v>
      </c>
      <c r="N96" t="s">
        <v>10</v>
      </c>
      <c r="O96">
        <v>91</v>
      </c>
      <c r="P96">
        <f t="shared" si="1"/>
        <v>0</v>
      </c>
    </row>
    <row r="97" spans="1:16">
      <c r="A97" s="6" t="s">
        <v>84</v>
      </c>
      <c r="B97" t="s">
        <v>85</v>
      </c>
      <c r="C97" t="s">
        <v>7</v>
      </c>
      <c r="D97" t="s">
        <v>86</v>
      </c>
      <c r="E97" t="s">
        <v>11</v>
      </c>
      <c r="F97" t="s">
        <v>14</v>
      </c>
      <c r="G97" s="7">
        <v>114</v>
      </c>
      <c r="K97" t="s">
        <v>84</v>
      </c>
      <c r="L97" t="s">
        <v>85</v>
      </c>
      <c r="M97" t="s">
        <v>100</v>
      </c>
      <c r="N97" t="s">
        <v>14</v>
      </c>
      <c r="O97">
        <v>114</v>
      </c>
      <c r="P97">
        <f t="shared" si="1"/>
        <v>0</v>
      </c>
    </row>
    <row r="98" spans="1:16">
      <c r="A98" s="6" t="s">
        <v>84</v>
      </c>
      <c r="B98" t="s">
        <v>87</v>
      </c>
      <c r="C98" t="s">
        <v>7</v>
      </c>
      <c r="D98" t="s">
        <v>86</v>
      </c>
      <c r="E98" t="s">
        <v>9</v>
      </c>
      <c r="F98" t="s">
        <v>10</v>
      </c>
      <c r="G98" s="7">
        <v>79</v>
      </c>
      <c r="K98" t="s">
        <v>84</v>
      </c>
      <c r="L98" t="s">
        <v>87</v>
      </c>
      <c r="M98" t="s">
        <v>98</v>
      </c>
      <c r="N98" t="s">
        <v>10</v>
      </c>
      <c r="O98">
        <v>79</v>
      </c>
      <c r="P98">
        <f t="shared" si="1"/>
        <v>0</v>
      </c>
    </row>
    <row r="99" spans="1:16">
      <c r="A99" s="8" t="s">
        <v>84</v>
      </c>
      <c r="B99" s="9" t="s">
        <v>87</v>
      </c>
      <c r="C99" s="9" t="s">
        <v>7</v>
      </c>
      <c r="D99" s="9" t="s">
        <v>86</v>
      </c>
      <c r="E99" s="9" t="s">
        <v>11</v>
      </c>
      <c r="F99" s="9" t="s">
        <v>14</v>
      </c>
      <c r="G99" s="10">
        <v>114</v>
      </c>
      <c r="K99" t="s">
        <v>84</v>
      </c>
      <c r="L99" t="s">
        <v>87</v>
      </c>
      <c r="M99" t="s">
        <v>100</v>
      </c>
      <c r="N99" t="s">
        <v>14</v>
      </c>
      <c r="O99">
        <v>114</v>
      </c>
      <c r="P99">
        <f t="shared" si="1"/>
        <v>0</v>
      </c>
    </row>
    <row r="100" spans="1:16">
      <c r="A100" s="3" t="s">
        <v>88</v>
      </c>
      <c r="B100" s="4">
        <v>90510</v>
      </c>
      <c r="C100" s="4" t="s">
        <v>7</v>
      </c>
      <c r="D100" s="4" t="s">
        <v>89</v>
      </c>
      <c r="E100" s="4" t="s">
        <v>9</v>
      </c>
      <c r="F100" s="4" t="s">
        <v>10</v>
      </c>
      <c r="G100" s="5">
        <v>48</v>
      </c>
      <c r="H100">
        <v>1</v>
      </c>
      <c r="K100" t="s">
        <v>88</v>
      </c>
      <c r="L100">
        <v>90510</v>
      </c>
      <c r="M100" t="s">
        <v>98</v>
      </c>
      <c r="N100" t="s">
        <v>10</v>
      </c>
      <c r="O100">
        <v>48</v>
      </c>
      <c r="P100">
        <f t="shared" si="1"/>
        <v>0</v>
      </c>
    </row>
    <row r="101" spans="1:16">
      <c r="A101" s="8" t="s">
        <v>88</v>
      </c>
      <c r="B101" s="9">
        <v>90510</v>
      </c>
      <c r="C101" s="9" t="s">
        <v>7</v>
      </c>
      <c r="D101" s="9" t="s">
        <v>89</v>
      </c>
      <c r="E101" s="9" t="s">
        <v>11</v>
      </c>
      <c r="F101" s="9" t="s">
        <v>14</v>
      </c>
      <c r="G101" s="10">
        <v>20</v>
      </c>
      <c r="K101" t="s">
        <v>88</v>
      </c>
      <c r="L101">
        <v>90510</v>
      </c>
      <c r="M101" t="s">
        <v>100</v>
      </c>
      <c r="N101" t="s">
        <v>14</v>
      </c>
      <c r="O101">
        <v>20</v>
      </c>
      <c r="P101">
        <f t="shared" si="1"/>
        <v>0</v>
      </c>
    </row>
    <row r="102" spans="1:16">
      <c r="A102" s="3" t="s">
        <v>90</v>
      </c>
      <c r="B102" s="4">
        <v>90584</v>
      </c>
      <c r="C102" s="4" t="s">
        <v>7</v>
      </c>
      <c r="D102" s="4" t="s">
        <v>91</v>
      </c>
      <c r="E102" s="4" t="s">
        <v>9</v>
      </c>
      <c r="F102" s="4" t="s">
        <v>10</v>
      </c>
      <c r="G102" s="5">
        <v>60</v>
      </c>
      <c r="H102">
        <v>1</v>
      </c>
      <c r="K102" t="s">
        <v>90</v>
      </c>
      <c r="L102">
        <v>90584</v>
      </c>
      <c r="M102" t="s">
        <v>98</v>
      </c>
      <c r="N102" t="s">
        <v>10</v>
      </c>
      <c r="O102">
        <v>60</v>
      </c>
      <c r="P102">
        <f t="shared" si="1"/>
        <v>0</v>
      </c>
    </row>
    <row r="103" spans="1:16">
      <c r="A103" s="8" t="s">
        <v>90</v>
      </c>
      <c r="B103" s="9">
        <v>90584</v>
      </c>
      <c r="C103" s="9" t="s">
        <v>7</v>
      </c>
      <c r="D103" s="9" t="s">
        <v>91</v>
      </c>
      <c r="E103" s="9" t="s">
        <v>11</v>
      </c>
      <c r="F103" s="9" t="s">
        <v>14</v>
      </c>
      <c r="G103" s="10">
        <v>57</v>
      </c>
      <c r="K103" t="s">
        <v>90</v>
      </c>
      <c r="L103">
        <v>90584</v>
      </c>
      <c r="M103" t="s">
        <v>100</v>
      </c>
      <c r="N103" t="s">
        <v>14</v>
      </c>
      <c r="O103">
        <v>57</v>
      </c>
      <c r="P103">
        <f t="shared" si="1"/>
        <v>0</v>
      </c>
    </row>
    <row r="104" spans="1:16">
      <c r="A104" s="3" t="s">
        <v>92</v>
      </c>
      <c r="B104" s="4" t="s">
        <v>93</v>
      </c>
      <c r="C104" s="4" t="s">
        <v>7</v>
      </c>
      <c r="D104" s="4" t="s">
        <v>80</v>
      </c>
      <c r="E104" s="4" t="s">
        <v>9</v>
      </c>
      <c r="F104" s="4" t="s">
        <v>19</v>
      </c>
      <c r="G104" s="5">
        <v>85</v>
      </c>
      <c r="H104">
        <v>1</v>
      </c>
      <c r="I104">
        <f>IF(H104=1,G104,0)</f>
        <v>85</v>
      </c>
      <c r="K104" t="s">
        <v>92</v>
      </c>
      <c r="L104" t="s">
        <v>93</v>
      </c>
      <c r="M104" t="s">
        <v>98</v>
      </c>
      <c r="N104" t="s">
        <v>19</v>
      </c>
      <c r="O104">
        <v>85</v>
      </c>
      <c r="P104">
        <f t="shared" si="1"/>
        <v>0</v>
      </c>
    </row>
    <row r="105" spans="1:16">
      <c r="A105" s="6" t="s">
        <v>92</v>
      </c>
      <c r="B105" t="s">
        <v>93</v>
      </c>
      <c r="C105" t="s">
        <v>7</v>
      </c>
      <c r="D105" t="s">
        <v>80</v>
      </c>
      <c r="E105" t="s">
        <v>11</v>
      </c>
      <c r="F105" t="s">
        <v>14</v>
      </c>
      <c r="G105" s="7">
        <v>130</v>
      </c>
      <c r="K105" t="s">
        <v>92</v>
      </c>
      <c r="L105" t="s">
        <v>93</v>
      </c>
      <c r="M105" t="s">
        <v>100</v>
      </c>
      <c r="N105" t="s">
        <v>14</v>
      </c>
      <c r="O105">
        <v>130</v>
      </c>
      <c r="P105">
        <f t="shared" si="1"/>
        <v>0</v>
      </c>
    </row>
    <row r="106" spans="1:16">
      <c r="A106" s="6" t="s">
        <v>92</v>
      </c>
      <c r="B106" t="s">
        <v>94</v>
      </c>
      <c r="C106" t="s">
        <v>7</v>
      </c>
      <c r="D106" t="s">
        <v>80</v>
      </c>
      <c r="E106" t="s">
        <v>9</v>
      </c>
      <c r="F106" t="s">
        <v>19</v>
      </c>
      <c r="G106" s="7">
        <v>214</v>
      </c>
      <c r="I106">
        <f>IF(H106=1,G106,0)</f>
        <v>0</v>
      </c>
      <c r="K106" t="s">
        <v>92</v>
      </c>
      <c r="L106" t="s">
        <v>94</v>
      </c>
      <c r="M106" t="s">
        <v>98</v>
      </c>
      <c r="N106" t="s">
        <v>19</v>
      </c>
      <c r="O106">
        <v>214</v>
      </c>
      <c r="P106">
        <f t="shared" si="1"/>
        <v>0</v>
      </c>
    </row>
    <row r="107" spans="1:16">
      <c r="A107" s="8" t="s">
        <v>92</v>
      </c>
      <c r="B107" s="9" t="s">
        <v>94</v>
      </c>
      <c r="C107" s="9" t="s">
        <v>7</v>
      </c>
      <c r="D107" s="9" t="s">
        <v>80</v>
      </c>
      <c r="E107" s="9" t="s">
        <v>11</v>
      </c>
      <c r="F107" s="9" t="s">
        <v>14</v>
      </c>
      <c r="G107" s="10">
        <v>130</v>
      </c>
      <c r="K107" t="s">
        <v>92</v>
      </c>
      <c r="L107" t="s">
        <v>94</v>
      </c>
      <c r="M107" t="s">
        <v>100</v>
      </c>
      <c r="N107" t="s">
        <v>14</v>
      </c>
      <c r="O107">
        <v>130</v>
      </c>
      <c r="P107">
        <f t="shared" si="1"/>
        <v>0</v>
      </c>
    </row>
    <row r="108" spans="1:16">
      <c r="A108" s="3" t="s">
        <v>95</v>
      </c>
      <c r="B108" s="4">
        <v>90587</v>
      </c>
      <c r="C108" s="4" t="s">
        <v>7</v>
      </c>
      <c r="D108" s="4" t="s">
        <v>96</v>
      </c>
      <c r="E108" s="4" t="s">
        <v>9</v>
      </c>
      <c r="F108" s="4" t="s">
        <v>83</v>
      </c>
      <c r="G108" s="5">
        <v>64</v>
      </c>
      <c r="K108" t="s">
        <v>95</v>
      </c>
      <c r="L108">
        <v>90587</v>
      </c>
      <c r="M108" t="s">
        <v>98</v>
      </c>
      <c r="N108" t="s">
        <v>83</v>
      </c>
      <c r="O108">
        <v>65</v>
      </c>
      <c r="P108">
        <f t="shared" si="1"/>
        <v>1</v>
      </c>
    </row>
    <row r="109" spans="1:16">
      <c r="A109" s="8" t="s">
        <v>95</v>
      </c>
      <c r="B109" s="9">
        <v>90587</v>
      </c>
      <c r="C109" s="9" t="s">
        <v>7</v>
      </c>
      <c r="D109" s="9" t="s">
        <v>96</v>
      </c>
      <c r="E109" s="9" t="s">
        <v>11</v>
      </c>
      <c r="F109" s="9" t="s">
        <v>14</v>
      </c>
      <c r="G109" s="10">
        <v>63</v>
      </c>
      <c r="K109" t="s">
        <v>95</v>
      </c>
      <c r="L109">
        <v>90587</v>
      </c>
      <c r="M109" t="s">
        <v>100</v>
      </c>
      <c r="N109" t="s">
        <v>14</v>
      </c>
      <c r="O109">
        <v>65</v>
      </c>
      <c r="P109">
        <f t="shared" si="1"/>
        <v>2</v>
      </c>
    </row>
  </sheetData>
  <autoFilter ref="A1:G109" xr:uid="{E00CB193-8690-4E7B-8731-020E53DBCB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7283-3DA4-4130-A163-925372471DBA}">
  <dimension ref="A1:G109"/>
  <sheetViews>
    <sheetView workbookViewId="0">
      <pane ySplit="1" topLeftCell="A20" activePane="bottomLeft" state="frozen"/>
      <selection pane="bottomLeft" activeCell="F24" sqref="F24"/>
    </sheetView>
  </sheetViews>
  <sheetFormatPr defaultRowHeight="14.25"/>
  <cols>
    <col min="1" max="1" width="9.375" bestFit="1" customWidth="1"/>
    <col min="2" max="2" width="14.375" bestFit="1" customWidth="1"/>
    <col min="3" max="3" width="16.625" bestFit="1" customWidth="1"/>
    <col min="4" max="4" width="23.375" bestFit="1" customWidth="1"/>
    <col min="5" max="5" width="20.75" bestFit="1" customWidth="1"/>
    <col min="6" max="6" width="38.375" style="84" customWidth="1"/>
    <col min="7" max="7" width="82.5" bestFit="1" customWidth="1"/>
  </cols>
  <sheetData>
    <row r="1" spans="1:7" ht="60">
      <c r="A1" s="89" t="s">
        <v>0</v>
      </c>
      <c r="B1" s="89" t="s">
        <v>1</v>
      </c>
      <c r="C1" s="89" t="s">
        <v>182</v>
      </c>
      <c r="D1" s="89" t="s">
        <v>181</v>
      </c>
      <c r="E1" s="89" t="s">
        <v>180</v>
      </c>
      <c r="F1" s="88" t="s">
        <v>183</v>
      </c>
    </row>
    <row r="2" spans="1:7">
      <c r="A2" s="3" t="s">
        <v>6</v>
      </c>
      <c r="B2" s="4">
        <v>74210</v>
      </c>
      <c r="C2" s="4" t="s">
        <v>98</v>
      </c>
      <c r="D2" s="4" t="s">
        <v>10</v>
      </c>
      <c r="E2" s="5">
        <v>31</v>
      </c>
      <c r="F2" s="82">
        <v>1</v>
      </c>
    </row>
    <row r="3" spans="1:7">
      <c r="A3" s="6" t="s">
        <v>6</v>
      </c>
      <c r="B3">
        <v>74210</v>
      </c>
      <c r="C3" t="s">
        <v>100</v>
      </c>
      <c r="D3" t="s">
        <v>12</v>
      </c>
      <c r="E3" s="7">
        <v>32</v>
      </c>
      <c r="F3" s="85">
        <v>1</v>
      </c>
    </row>
    <row r="4" spans="1:7">
      <c r="A4" s="6" t="s">
        <v>6</v>
      </c>
      <c r="B4">
        <v>87216</v>
      </c>
      <c r="C4" t="s">
        <v>98</v>
      </c>
      <c r="D4" t="s">
        <v>12</v>
      </c>
      <c r="E4" s="7">
        <v>32</v>
      </c>
      <c r="F4" s="85">
        <v>0</v>
      </c>
      <c r="G4" t="s">
        <v>174</v>
      </c>
    </row>
    <row r="5" spans="1:7">
      <c r="A5" s="6" t="s">
        <v>6</v>
      </c>
      <c r="B5">
        <v>87216</v>
      </c>
      <c r="C5" t="s">
        <v>100</v>
      </c>
      <c r="D5" t="s">
        <v>14</v>
      </c>
      <c r="E5" s="7">
        <v>35</v>
      </c>
      <c r="F5" s="85">
        <v>2</v>
      </c>
    </row>
    <row r="6" spans="1:7">
      <c r="A6" s="6" t="s">
        <v>6</v>
      </c>
      <c r="B6">
        <v>87217</v>
      </c>
      <c r="C6" t="s">
        <v>98</v>
      </c>
      <c r="D6" t="s">
        <v>10</v>
      </c>
      <c r="E6" s="7">
        <v>31</v>
      </c>
      <c r="F6" s="85">
        <v>0</v>
      </c>
      <c r="G6" t="s">
        <v>174</v>
      </c>
    </row>
    <row r="7" spans="1:7">
      <c r="A7" s="8" t="s">
        <v>6</v>
      </c>
      <c r="B7" s="9">
        <v>87217</v>
      </c>
      <c r="C7" s="9" t="s">
        <v>100</v>
      </c>
      <c r="D7" s="9" t="s">
        <v>14</v>
      </c>
      <c r="E7" s="10">
        <v>35</v>
      </c>
      <c r="F7" s="86">
        <v>0</v>
      </c>
      <c r="G7" t="s">
        <v>174</v>
      </c>
    </row>
    <row r="8" spans="1:7">
      <c r="A8" s="3" t="s">
        <v>15</v>
      </c>
      <c r="B8" s="4">
        <v>74201</v>
      </c>
      <c r="C8" s="4" t="s">
        <v>98</v>
      </c>
      <c r="D8" s="4" t="s">
        <v>12</v>
      </c>
      <c r="E8" s="5">
        <v>16</v>
      </c>
      <c r="F8" s="82">
        <v>1</v>
      </c>
    </row>
    <row r="9" spans="1:7">
      <c r="A9" s="8" t="s">
        <v>15</v>
      </c>
      <c r="B9" s="9">
        <v>74201</v>
      </c>
      <c r="C9" s="9" t="s">
        <v>100</v>
      </c>
      <c r="D9" s="9" t="s">
        <v>14</v>
      </c>
      <c r="E9" s="10">
        <v>19</v>
      </c>
      <c r="F9" s="86">
        <v>2</v>
      </c>
    </row>
    <row r="10" spans="1:7">
      <c r="A10" s="3" t="s">
        <v>17</v>
      </c>
      <c r="B10" s="4">
        <v>86432</v>
      </c>
      <c r="C10" s="4" t="s">
        <v>98</v>
      </c>
      <c r="D10" s="4" t="s">
        <v>19</v>
      </c>
      <c r="E10" s="5">
        <v>47</v>
      </c>
      <c r="F10" s="82">
        <v>1</v>
      </c>
    </row>
    <row r="11" spans="1:7">
      <c r="A11" s="8" t="s">
        <v>17</v>
      </c>
      <c r="B11" s="9">
        <v>86432</v>
      </c>
      <c r="C11" s="9" t="s">
        <v>100</v>
      </c>
      <c r="D11" s="9" t="s">
        <v>14</v>
      </c>
      <c r="E11" s="10">
        <v>24</v>
      </c>
      <c r="F11" s="86">
        <v>2</v>
      </c>
    </row>
    <row r="12" spans="1:7">
      <c r="A12" s="3" t="s">
        <v>20</v>
      </c>
      <c r="B12" s="4">
        <v>86433</v>
      </c>
      <c r="C12" s="4" t="s">
        <v>98</v>
      </c>
      <c r="D12" s="4" t="s">
        <v>19</v>
      </c>
      <c r="E12" s="5">
        <v>139</v>
      </c>
      <c r="F12" s="82">
        <v>1</v>
      </c>
    </row>
    <row r="13" spans="1:7">
      <c r="A13" s="8" t="s">
        <v>20</v>
      </c>
      <c r="B13" s="9">
        <v>86433</v>
      </c>
      <c r="C13" s="9" t="s">
        <v>100</v>
      </c>
      <c r="D13" s="9" t="s">
        <v>14</v>
      </c>
      <c r="E13" s="10">
        <v>64</v>
      </c>
      <c r="F13" s="86">
        <v>2</v>
      </c>
    </row>
    <row r="14" spans="1:7">
      <c r="A14" s="3" t="s">
        <v>22</v>
      </c>
      <c r="B14" s="4" t="s">
        <v>23</v>
      </c>
      <c r="C14" s="4" t="s">
        <v>98</v>
      </c>
      <c r="D14" s="4" t="s">
        <v>19</v>
      </c>
      <c r="E14" s="5">
        <v>108</v>
      </c>
      <c r="F14" s="82">
        <v>1</v>
      </c>
    </row>
    <row r="15" spans="1:7">
      <c r="A15" s="6" t="s">
        <v>22</v>
      </c>
      <c r="B15" t="s">
        <v>23</v>
      </c>
      <c r="C15" t="s">
        <v>100</v>
      </c>
      <c r="D15" t="s">
        <v>14</v>
      </c>
      <c r="E15" s="7">
        <v>162</v>
      </c>
      <c r="F15" s="85">
        <v>2</v>
      </c>
    </row>
    <row r="16" spans="1:7">
      <c r="A16" s="6" t="s">
        <v>22</v>
      </c>
      <c r="B16" t="s">
        <v>25</v>
      </c>
      <c r="C16" t="s">
        <v>98</v>
      </c>
      <c r="D16" t="s">
        <v>19</v>
      </c>
      <c r="E16" s="7">
        <v>258</v>
      </c>
      <c r="F16" s="87">
        <v>1</v>
      </c>
      <c r="G16" s="77" t="s">
        <v>175</v>
      </c>
    </row>
    <row r="17" spans="1:7">
      <c r="A17" s="8" t="s">
        <v>22</v>
      </c>
      <c r="B17" s="9" t="s">
        <v>25</v>
      </c>
      <c r="C17" s="9" t="s">
        <v>100</v>
      </c>
      <c r="D17" s="9" t="s">
        <v>14</v>
      </c>
      <c r="E17" s="10">
        <v>163</v>
      </c>
      <c r="F17" s="86">
        <v>0</v>
      </c>
      <c r="G17" t="s">
        <v>174</v>
      </c>
    </row>
    <row r="18" spans="1:7">
      <c r="A18" s="3" t="s">
        <v>27</v>
      </c>
      <c r="B18" s="4">
        <v>86419</v>
      </c>
      <c r="C18" s="4" t="s">
        <v>98</v>
      </c>
      <c r="D18" s="4" t="s">
        <v>19</v>
      </c>
      <c r="E18" s="5">
        <v>44</v>
      </c>
      <c r="F18" s="82">
        <v>1</v>
      </c>
    </row>
    <row r="19" spans="1:7">
      <c r="A19" s="8" t="s">
        <v>27</v>
      </c>
      <c r="B19" s="9">
        <v>86419</v>
      </c>
      <c r="C19" s="9" t="s">
        <v>100</v>
      </c>
      <c r="D19" s="9" t="s">
        <v>14</v>
      </c>
      <c r="E19" s="10">
        <v>43</v>
      </c>
      <c r="F19" s="86">
        <v>2</v>
      </c>
    </row>
    <row r="20" spans="1:7">
      <c r="A20" s="3" t="s">
        <v>29</v>
      </c>
      <c r="B20" s="4">
        <v>87522</v>
      </c>
      <c r="C20" s="4" t="s">
        <v>98</v>
      </c>
      <c r="D20" s="4" t="s">
        <v>19</v>
      </c>
      <c r="E20" s="5">
        <v>213</v>
      </c>
      <c r="F20" s="82">
        <v>1</v>
      </c>
    </row>
    <row r="21" spans="1:7">
      <c r="A21" s="8" t="s">
        <v>29</v>
      </c>
      <c r="B21" s="9">
        <v>87522</v>
      </c>
      <c r="C21" s="9" t="s">
        <v>100</v>
      </c>
      <c r="D21" s="9" t="s">
        <v>14</v>
      </c>
      <c r="E21" s="10">
        <v>88</v>
      </c>
      <c r="F21" s="86">
        <v>2</v>
      </c>
    </row>
    <row r="22" spans="1:7">
      <c r="A22" s="3" t="s">
        <v>31</v>
      </c>
      <c r="B22" s="4" t="s">
        <v>33</v>
      </c>
      <c r="C22" s="4" t="s">
        <v>98</v>
      </c>
      <c r="D22" s="4" t="s">
        <v>19</v>
      </c>
      <c r="E22" s="5">
        <v>40</v>
      </c>
      <c r="F22" s="82">
        <v>1</v>
      </c>
    </row>
    <row r="23" spans="1:7">
      <c r="A23" s="6" t="s">
        <v>31</v>
      </c>
      <c r="B23" t="s">
        <v>33</v>
      </c>
      <c r="C23" t="s">
        <v>100</v>
      </c>
      <c r="D23" t="s">
        <v>14</v>
      </c>
      <c r="E23" s="7">
        <v>42</v>
      </c>
      <c r="F23" s="85">
        <v>2</v>
      </c>
    </row>
    <row r="24" spans="1:7">
      <c r="A24" s="6" t="s">
        <v>31</v>
      </c>
      <c r="B24">
        <v>87225</v>
      </c>
      <c r="C24" t="s">
        <v>98</v>
      </c>
      <c r="D24" t="s">
        <v>10</v>
      </c>
      <c r="E24" s="7">
        <v>44</v>
      </c>
      <c r="F24" s="85">
        <v>1</v>
      </c>
    </row>
    <row r="25" spans="1:7">
      <c r="A25" s="6" t="s">
        <v>31</v>
      </c>
      <c r="B25">
        <v>87225</v>
      </c>
      <c r="C25" t="s">
        <v>100</v>
      </c>
      <c r="D25" t="s">
        <v>19</v>
      </c>
      <c r="E25" s="7">
        <v>40</v>
      </c>
      <c r="F25" s="85">
        <v>0</v>
      </c>
      <c r="G25" t="s">
        <v>174</v>
      </c>
    </row>
    <row r="26" spans="1:7">
      <c r="A26" s="6" t="s">
        <v>31</v>
      </c>
      <c r="B26">
        <v>89406</v>
      </c>
      <c r="C26" t="s">
        <v>98</v>
      </c>
      <c r="D26" t="s">
        <v>10</v>
      </c>
      <c r="E26" s="7">
        <v>44</v>
      </c>
      <c r="F26" s="85">
        <v>0</v>
      </c>
      <c r="G26" t="s">
        <v>174</v>
      </c>
    </row>
    <row r="27" spans="1:7">
      <c r="A27" s="8" t="s">
        <v>31</v>
      </c>
      <c r="B27" s="9">
        <v>89406</v>
      </c>
      <c r="C27" s="9" t="s">
        <v>100</v>
      </c>
      <c r="D27" s="9" t="s">
        <v>14</v>
      </c>
      <c r="E27" s="10">
        <v>42</v>
      </c>
      <c r="F27" s="86">
        <v>0</v>
      </c>
      <c r="G27" t="s">
        <v>174</v>
      </c>
    </row>
    <row r="28" spans="1:7">
      <c r="A28" s="3" t="s">
        <v>34</v>
      </c>
      <c r="B28" s="4">
        <v>74196</v>
      </c>
      <c r="C28" s="4" t="s">
        <v>98</v>
      </c>
      <c r="D28" s="4" t="s">
        <v>19</v>
      </c>
      <c r="E28" s="5">
        <v>64</v>
      </c>
      <c r="F28" s="82">
        <v>1</v>
      </c>
    </row>
    <row r="29" spans="1:7">
      <c r="A29" s="8" t="s">
        <v>34</v>
      </c>
      <c r="B29" s="9">
        <v>74196</v>
      </c>
      <c r="C29" s="9" t="s">
        <v>100</v>
      </c>
      <c r="D29" s="9" t="s">
        <v>14</v>
      </c>
      <c r="E29" s="10">
        <v>63</v>
      </c>
      <c r="F29" s="86">
        <v>2</v>
      </c>
    </row>
    <row r="30" spans="1:7">
      <c r="A30" s="3" t="s">
        <v>36</v>
      </c>
      <c r="B30" s="4">
        <v>87212</v>
      </c>
      <c r="C30" s="4" t="s">
        <v>98</v>
      </c>
      <c r="D30" s="4" t="s">
        <v>10</v>
      </c>
      <c r="E30" s="5">
        <v>51</v>
      </c>
      <c r="F30" s="82">
        <v>1</v>
      </c>
    </row>
    <row r="31" spans="1:7">
      <c r="A31" s="6" t="s">
        <v>36</v>
      </c>
      <c r="B31">
        <v>87212</v>
      </c>
      <c r="C31" t="s">
        <v>100</v>
      </c>
      <c r="D31" t="s">
        <v>19</v>
      </c>
      <c r="E31" s="7">
        <v>49</v>
      </c>
      <c r="F31" s="85">
        <v>1</v>
      </c>
    </row>
    <row r="32" spans="1:7">
      <c r="A32" s="6" t="s">
        <v>36</v>
      </c>
      <c r="B32" t="s">
        <v>38</v>
      </c>
      <c r="C32" t="s">
        <v>98</v>
      </c>
      <c r="D32" t="s">
        <v>19</v>
      </c>
      <c r="E32" s="7">
        <v>49</v>
      </c>
      <c r="F32" s="85">
        <v>0</v>
      </c>
      <c r="G32" t="s">
        <v>174</v>
      </c>
    </row>
    <row r="33" spans="1:7">
      <c r="A33" s="6" t="s">
        <v>36</v>
      </c>
      <c r="B33" t="s">
        <v>38</v>
      </c>
      <c r="C33" t="s">
        <v>100</v>
      </c>
      <c r="D33" t="s">
        <v>14</v>
      </c>
      <c r="E33" s="7">
        <v>50</v>
      </c>
      <c r="F33" s="85">
        <v>2</v>
      </c>
    </row>
    <row r="34" spans="1:7">
      <c r="A34" s="6" t="s">
        <v>36</v>
      </c>
      <c r="B34">
        <v>89407</v>
      </c>
      <c r="C34" t="s">
        <v>98</v>
      </c>
      <c r="D34" t="s">
        <v>10</v>
      </c>
      <c r="E34" s="7">
        <v>51</v>
      </c>
      <c r="F34" s="85">
        <v>0</v>
      </c>
      <c r="G34" t="s">
        <v>174</v>
      </c>
    </row>
    <row r="35" spans="1:7">
      <c r="A35" s="8" t="s">
        <v>36</v>
      </c>
      <c r="B35" s="9">
        <v>89407</v>
      </c>
      <c r="C35" s="9" t="s">
        <v>100</v>
      </c>
      <c r="D35" s="9" t="s">
        <v>14</v>
      </c>
      <c r="E35" s="10">
        <v>50</v>
      </c>
      <c r="F35" s="86">
        <v>0</v>
      </c>
      <c r="G35" t="s">
        <v>174</v>
      </c>
    </row>
    <row r="36" spans="1:7">
      <c r="A36" s="3" t="s">
        <v>39</v>
      </c>
      <c r="B36" s="4">
        <v>87214</v>
      </c>
      <c r="C36" s="4" t="s">
        <v>98</v>
      </c>
      <c r="D36" s="4" t="s">
        <v>12</v>
      </c>
      <c r="E36" s="5">
        <v>42</v>
      </c>
      <c r="F36" s="82">
        <v>1</v>
      </c>
    </row>
    <row r="37" spans="1:7">
      <c r="A37" s="6" t="s">
        <v>39</v>
      </c>
      <c r="B37">
        <v>87214</v>
      </c>
      <c r="C37" t="s">
        <v>100</v>
      </c>
      <c r="D37" t="s">
        <v>14</v>
      </c>
      <c r="E37" s="7">
        <v>47</v>
      </c>
      <c r="F37" s="85">
        <v>2</v>
      </c>
    </row>
    <row r="38" spans="1:7">
      <c r="A38" s="6" t="s">
        <v>39</v>
      </c>
      <c r="B38">
        <v>87215</v>
      </c>
      <c r="C38" t="s">
        <v>98</v>
      </c>
      <c r="D38" t="s">
        <v>10</v>
      </c>
      <c r="E38" s="7">
        <v>44</v>
      </c>
      <c r="F38" s="85">
        <v>1</v>
      </c>
    </row>
    <row r="39" spans="1:7">
      <c r="A39" s="8" t="s">
        <v>39</v>
      </c>
      <c r="B39" s="9">
        <v>87215</v>
      </c>
      <c r="C39" s="9" t="s">
        <v>100</v>
      </c>
      <c r="D39" s="9" t="s">
        <v>14</v>
      </c>
      <c r="E39" s="10">
        <v>47</v>
      </c>
      <c r="F39" s="86">
        <v>0</v>
      </c>
      <c r="G39" t="s">
        <v>174</v>
      </c>
    </row>
    <row r="40" spans="1:7">
      <c r="A40" s="3" t="s">
        <v>41</v>
      </c>
      <c r="B40" s="4">
        <v>86426</v>
      </c>
      <c r="C40" s="4" t="s">
        <v>98</v>
      </c>
      <c r="D40" s="4" t="s">
        <v>42</v>
      </c>
      <c r="E40" s="5">
        <v>555</v>
      </c>
      <c r="F40" s="82">
        <v>1</v>
      </c>
    </row>
    <row r="41" spans="1:7">
      <c r="A41" s="8" t="s">
        <v>41</v>
      </c>
      <c r="B41" s="9">
        <v>86426</v>
      </c>
      <c r="C41" s="9" t="s">
        <v>100</v>
      </c>
      <c r="D41" s="9" t="s">
        <v>14</v>
      </c>
      <c r="E41" s="10">
        <v>326</v>
      </c>
      <c r="F41" s="86">
        <v>2</v>
      </c>
    </row>
    <row r="42" spans="1:7">
      <c r="A42" s="3" t="s">
        <v>43</v>
      </c>
      <c r="B42" s="4">
        <v>85370</v>
      </c>
      <c r="C42" s="4" t="s">
        <v>98</v>
      </c>
      <c r="D42" s="4" t="s">
        <v>19</v>
      </c>
      <c r="E42" s="5">
        <v>53</v>
      </c>
      <c r="F42" s="82">
        <v>1</v>
      </c>
    </row>
    <row r="43" spans="1:7">
      <c r="A43" s="8" t="s">
        <v>43</v>
      </c>
      <c r="B43" s="9">
        <v>85370</v>
      </c>
      <c r="C43" s="9" t="s">
        <v>100</v>
      </c>
      <c r="D43" s="9" t="s">
        <v>14</v>
      </c>
      <c r="E43" s="10">
        <v>56</v>
      </c>
      <c r="F43" s="86">
        <v>2</v>
      </c>
    </row>
    <row r="44" spans="1:7">
      <c r="A44" s="3" t="s">
        <v>46</v>
      </c>
      <c r="B44" s="4">
        <v>86422</v>
      </c>
      <c r="C44" s="4" t="s">
        <v>98</v>
      </c>
      <c r="D44" s="4" t="s">
        <v>19</v>
      </c>
      <c r="E44" s="5">
        <v>72</v>
      </c>
      <c r="F44" s="82">
        <v>1</v>
      </c>
    </row>
    <row r="45" spans="1:7">
      <c r="A45" s="8" t="s">
        <v>46</v>
      </c>
      <c r="B45" s="9">
        <v>86422</v>
      </c>
      <c r="C45" s="9" t="s">
        <v>100</v>
      </c>
      <c r="D45" s="9" t="s">
        <v>14</v>
      </c>
      <c r="E45" s="10">
        <v>64</v>
      </c>
      <c r="F45" s="86">
        <v>2</v>
      </c>
    </row>
    <row r="46" spans="1:7">
      <c r="A46" s="3" t="s">
        <v>48</v>
      </c>
      <c r="B46" s="4">
        <v>87456</v>
      </c>
      <c r="C46" s="4" t="s">
        <v>98</v>
      </c>
      <c r="D46" s="4" t="s">
        <v>19</v>
      </c>
      <c r="E46" s="5">
        <v>29</v>
      </c>
      <c r="F46" s="82">
        <v>1</v>
      </c>
    </row>
    <row r="47" spans="1:7">
      <c r="A47" s="6" t="s">
        <v>48</v>
      </c>
      <c r="B47">
        <v>87456</v>
      </c>
      <c r="C47" t="s">
        <v>100</v>
      </c>
      <c r="D47" t="s">
        <v>14</v>
      </c>
      <c r="E47" s="7">
        <v>28</v>
      </c>
      <c r="F47" s="85">
        <v>2</v>
      </c>
    </row>
    <row r="48" spans="1:7">
      <c r="A48" s="6" t="s">
        <v>48</v>
      </c>
      <c r="B48">
        <v>87457</v>
      </c>
      <c r="C48" t="s">
        <v>98</v>
      </c>
      <c r="D48" t="s">
        <v>19</v>
      </c>
      <c r="E48" s="7">
        <v>29</v>
      </c>
      <c r="F48" s="85">
        <v>0</v>
      </c>
      <c r="G48" t="s">
        <v>174</v>
      </c>
    </row>
    <row r="49" spans="1:7">
      <c r="A49" s="8" t="s">
        <v>48</v>
      </c>
      <c r="B49" s="9">
        <v>87457</v>
      </c>
      <c r="C49" s="9" t="s">
        <v>100</v>
      </c>
      <c r="D49" s="9" t="s">
        <v>12</v>
      </c>
      <c r="E49" s="10">
        <v>28</v>
      </c>
      <c r="F49" s="86">
        <v>1</v>
      </c>
    </row>
    <row r="50" spans="1:7">
      <c r="A50" s="3" t="s">
        <v>50</v>
      </c>
      <c r="B50" s="4">
        <v>87242</v>
      </c>
      <c r="C50" s="4" t="s">
        <v>98</v>
      </c>
      <c r="D50" s="4" t="s">
        <v>52</v>
      </c>
      <c r="E50" s="5">
        <v>35</v>
      </c>
      <c r="F50" s="82">
        <v>1</v>
      </c>
    </row>
    <row r="51" spans="1:7">
      <c r="A51" s="6" t="s">
        <v>50</v>
      </c>
      <c r="B51">
        <v>87242</v>
      </c>
      <c r="C51" t="s">
        <v>100</v>
      </c>
      <c r="D51" t="s">
        <v>10</v>
      </c>
      <c r="E51" s="7">
        <v>35</v>
      </c>
      <c r="F51" s="85">
        <v>1</v>
      </c>
    </row>
    <row r="52" spans="1:7">
      <c r="A52" s="6" t="s">
        <v>50</v>
      </c>
      <c r="B52" t="s">
        <v>53</v>
      </c>
      <c r="C52" t="s">
        <v>98</v>
      </c>
      <c r="D52" t="s">
        <v>10</v>
      </c>
      <c r="E52" s="7">
        <v>35</v>
      </c>
      <c r="F52" s="85">
        <v>0</v>
      </c>
      <c r="G52" t="s">
        <v>174</v>
      </c>
    </row>
    <row r="53" spans="1:7">
      <c r="A53" s="6" t="s">
        <v>50</v>
      </c>
      <c r="B53" t="s">
        <v>53</v>
      </c>
      <c r="C53" t="s">
        <v>100</v>
      </c>
      <c r="D53" t="s">
        <v>14</v>
      </c>
      <c r="E53" s="7">
        <v>28</v>
      </c>
      <c r="F53" s="85">
        <v>2</v>
      </c>
    </row>
    <row r="54" spans="1:7">
      <c r="A54" s="6" t="s">
        <v>50</v>
      </c>
      <c r="B54">
        <v>89444</v>
      </c>
      <c r="C54" t="s">
        <v>98</v>
      </c>
      <c r="D54" t="s">
        <v>52</v>
      </c>
      <c r="E54" s="7">
        <v>35</v>
      </c>
      <c r="F54" s="85">
        <v>0</v>
      </c>
      <c r="G54" t="s">
        <v>174</v>
      </c>
    </row>
    <row r="55" spans="1:7">
      <c r="A55" s="8" t="s">
        <v>50</v>
      </c>
      <c r="B55" s="9">
        <v>89444</v>
      </c>
      <c r="C55" s="9" t="s">
        <v>100</v>
      </c>
      <c r="D55" s="9" t="s">
        <v>14</v>
      </c>
      <c r="E55" s="10">
        <v>28</v>
      </c>
      <c r="F55" s="86">
        <v>0</v>
      </c>
      <c r="G55" t="s">
        <v>174</v>
      </c>
    </row>
    <row r="56" spans="1:7">
      <c r="A56" s="3" t="s">
        <v>54</v>
      </c>
      <c r="B56" s="4" t="s">
        <v>55</v>
      </c>
      <c r="C56" s="4" t="s">
        <v>98</v>
      </c>
      <c r="D56" s="4" t="s">
        <v>10</v>
      </c>
      <c r="E56" s="5">
        <v>18</v>
      </c>
      <c r="F56" s="82">
        <v>1</v>
      </c>
    </row>
    <row r="57" spans="1:7">
      <c r="A57" s="6" t="s">
        <v>54</v>
      </c>
      <c r="B57" t="s">
        <v>55</v>
      </c>
      <c r="C57" t="s">
        <v>100</v>
      </c>
      <c r="D57" t="s">
        <v>14</v>
      </c>
      <c r="E57" s="7">
        <v>14</v>
      </c>
      <c r="F57" s="85">
        <v>2</v>
      </c>
    </row>
    <row r="58" spans="1:7">
      <c r="A58" s="6" t="s">
        <v>54</v>
      </c>
      <c r="B58" t="s">
        <v>57</v>
      </c>
      <c r="C58" t="s">
        <v>98</v>
      </c>
      <c r="D58" t="s">
        <v>10</v>
      </c>
      <c r="E58" s="7">
        <v>19</v>
      </c>
      <c r="F58" s="85">
        <v>0</v>
      </c>
      <c r="G58" t="s">
        <v>174</v>
      </c>
    </row>
    <row r="59" spans="1:7">
      <c r="A59" s="8" t="s">
        <v>54</v>
      </c>
      <c r="B59" s="9" t="s">
        <v>57</v>
      </c>
      <c r="C59" s="9" t="s">
        <v>100</v>
      </c>
      <c r="D59" s="9" t="s">
        <v>14</v>
      </c>
      <c r="E59" s="10">
        <v>14</v>
      </c>
      <c r="F59" s="86">
        <v>0</v>
      </c>
      <c r="G59" t="s">
        <v>176</v>
      </c>
    </row>
    <row r="60" spans="1:7">
      <c r="A60" s="3" t="s">
        <v>58</v>
      </c>
      <c r="B60" s="4">
        <v>87196</v>
      </c>
      <c r="C60" s="4" t="s">
        <v>98</v>
      </c>
      <c r="D60" s="4" t="s">
        <v>52</v>
      </c>
      <c r="E60" s="5">
        <v>91</v>
      </c>
      <c r="F60" s="82">
        <v>1</v>
      </c>
    </row>
    <row r="61" spans="1:7">
      <c r="A61" s="6" t="s">
        <v>58</v>
      </c>
      <c r="B61">
        <v>87196</v>
      </c>
      <c r="C61" t="s">
        <v>100</v>
      </c>
      <c r="D61" t="s">
        <v>14</v>
      </c>
      <c r="E61" s="7">
        <v>78</v>
      </c>
      <c r="F61" s="85">
        <v>2</v>
      </c>
    </row>
    <row r="62" spans="1:7">
      <c r="A62" s="6" t="s">
        <v>58</v>
      </c>
      <c r="B62">
        <v>87222</v>
      </c>
      <c r="C62" t="s">
        <v>98</v>
      </c>
      <c r="D62" t="s">
        <v>10</v>
      </c>
      <c r="E62" s="7">
        <v>96</v>
      </c>
      <c r="F62" s="85">
        <v>1</v>
      </c>
    </row>
    <row r="63" spans="1:7">
      <c r="A63" s="8" t="s">
        <v>58</v>
      </c>
      <c r="B63" s="9">
        <v>87222</v>
      </c>
      <c r="C63" s="9" t="s">
        <v>100</v>
      </c>
      <c r="D63" s="9" t="s">
        <v>14</v>
      </c>
      <c r="E63" s="10">
        <v>78</v>
      </c>
      <c r="F63" s="86">
        <v>0</v>
      </c>
      <c r="G63" t="s">
        <v>174</v>
      </c>
    </row>
    <row r="64" spans="1:7">
      <c r="A64" s="3" t="s">
        <v>61</v>
      </c>
      <c r="B64" s="4">
        <v>87219</v>
      </c>
      <c r="C64" s="4" t="s">
        <v>98</v>
      </c>
      <c r="D64" s="4" t="s">
        <v>12</v>
      </c>
      <c r="E64" s="5">
        <v>33</v>
      </c>
      <c r="F64" s="82">
        <v>1</v>
      </c>
    </row>
    <row r="65" spans="1:7">
      <c r="A65" s="6" t="s">
        <v>61</v>
      </c>
      <c r="B65">
        <v>87219</v>
      </c>
      <c r="C65" t="s">
        <v>100</v>
      </c>
      <c r="D65" t="s">
        <v>14</v>
      </c>
      <c r="E65" s="7">
        <v>33</v>
      </c>
      <c r="F65" s="85">
        <v>2</v>
      </c>
    </row>
    <row r="66" spans="1:7">
      <c r="A66" s="6" t="s">
        <v>61</v>
      </c>
      <c r="B66">
        <v>87220</v>
      </c>
      <c r="C66" t="s">
        <v>98</v>
      </c>
      <c r="D66" t="s">
        <v>12</v>
      </c>
      <c r="E66" s="7">
        <v>35</v>
      </c>
      <c r="F66" s="85">
        <v>0</v>
      </c>
      <c r="G66" t="s">
        <v>174</v>
      </c>
    </row>
    <row r="67" spans="1:7">
      <c r="A67" s="8" t="s">
        <v>61</v>
      </c>
      <c r="B67" s="9">
        <v>87220</v>
      </c>
      <c r="C67" s="9" t="s">
        <v>100</v>
      </c>
      <c r="D67" s="9" t="s">
        <v>14</v>
      </c>
      <c r="E67" s="10">
        <v>33</v>
      </c>
      <c r="F67" s="86">
        <v>0</v>
      </c>
      <c r="G67" t="s">
        <v>174</v>
      </c>
    </row>
    <row r="68" spans="1:7">
      <c r="A68" s="3" t="s">
        <v>63</v>
      </c>
      <c r="B68" s="4">
        <v>88220</v>
      </c>
      <c r="C68" s="4" t="s">
        <v>98</v>
      </c>
      <c r="D68" s="4" t="s">
        <v>19</v>
      </c>
      <c r="E68" s="5">
        <v>22</v>
      </c>
      <c r="F68" s="82">
        <v>1</v>
      </c>
    </row>
    <row r="69" spans="1:7">
      <c r="A69" s="8" t="s">
        <v>63</v>
      </c>
      <c r="B69" s="9">
        <v>88220</v>
      </c>
      <c r="C69" s="9" t="s">
        <v>100</v>
      </c>
      <c r="D69" s="9" t="s">
        <v>14</v>
      </c>
      <c r="E69" s="10">
        <v>16</v>
      </c>
      <c r="F69" s="86">
        <v>2</v>
      </c>
    </row>
    <row r="70" spans="1:7">
      <c r="A70" s="3" t="s">
        <v>65</v>
      </c>
      <c r="B70" s="4">
        <v>88224</v>
      </c>
      <c r="C70" s="4" t="s">
        <v>98</v>
      </c>
      <c r="D70" s="4" t="s">
        <v>19</v>
      </c>
      <c r="E70" s="5">
        <v>18</v>
      </c>
      <c r="F70" s="82">
        <v>1</v>
      </c>
    </row>
    <row r="71" spans="1:7">
      <c r="A71" s="8" t="s">
        <v>65</v>
      </c>
      <c r="B71" s="9">
        <v>88224</v>
      </c>
      <c r="C71" s="9" t="s">
        <v>100</v>
      </c>
      <c r="D71" s="9" t="s">
        <v>14</v>
      </c>
      <c r="E71" s="10">
        <v>11</v>
      </c>
      <c r="F71" s="86">
        <v>2</v>
      </c>
    </row>
    <row r="72" spans="1:7">
      <c r="A72" s="3" t="s">
        <v>67</v>
      </c>
      <c r="B72" s="4">
        <v>88222</v>
      </c>
      <c r="C72" s="4" t="s">
        <v>98</v>
      </c>
      <c r="D72" s="4" t="s">
        <v>19</v>
      </c>
      <c r="E72" s="5">
        <v>17</v>
      </c>
      <c r="F72" s="82">
        <v>1</v>
      </c>
    </row>
    <row r="73" spans="1:7">
      <c r="A73" s="8" t="s">
        <v>67</v>
      </c>
      <c r="B73" s="9">
        <v>88222</v>
      </c>
      <c r="C73" s="9" t="s">
        <v>100</v>
      </c>
      <c r="D73" s="9" t="s">
        <v>14</v>
      </c>
      <c r="E73" s="10">
        <v>16</v>
      </c>
      <c r="F73" s="86">
        <v>2</v>
      </c>
    </row>
    <row r="74" spans="1:7">
      <c r="A74" s="3" t="s">
        <v>69</v>
      </c>
      <c r="B74" s="4">
        <v>87461</v>
      </c>
      <c r="C74" s="4" t="s">
        <v>98</v>
      </c>
      <c r="D74" s="4" t="s">
        <v>19</v>
      </c>
      <c r="E74" s="5">
        <v>15</v>
      </c>
      <c r="F74" s="82">
        <v>1</v>
      </c>
    </row>
    <row r="75" spans="1:7">
      <c r="A75" s="8" t="s">
        <v>69</v>
      </c>
      <c r="B75" s="9">
        <v>87461</v>
      </c>
      <c r="C75" s="9" t="s">
        <v>100</v>
      </c>
      <c r="D75" s="9" t="s">
        <v>14</v>
      </c>
      <c r="E75" s="10">
        <v>17</v>
      </c>
      <c r="F75" s="86">
        <v>2</v>
      </c>
    </row>
    <row r="76" spans="1:7">
      <c r="A76" s="3" t="s">
        <v>71</v>
      </c>
      <c r="B76" s="4">
        <v>87210</v>
      </c>
      <c r="C76" s="4" t="s">
        <v>98</v>
      </c>
      <c r="D76" s="4" t="s">
        <v>10</v>
      </c>
      <c r="E76" s="5">
        <v>195</v>
      </c>
      <c r="F76" s="82">
        <v>1</v>
      </c>
    </row>
    <row r="77" spans="1:7">
      <c r="A77" s="6" t="s">
        <v>71</v>
      </c>
      <c r="B77">
        <v>87210</v>
      </c>
      <c r="C77" t="s">
        <v>100</v>
      </c>
      <c r="D77" t="s">
        <v>19</v>
      </c>
      <c r="E77" s="7">
        <v>190</v>
      </c>
      <c r="F77" s="85">
        <v>1</v>
      </c>
    </row>
    <row r="78" spans="1:7">
      <c r="A78" s="6" t="s">
        <v>71</v>
      </c>
      <c r="B78" t="s">
        <v>73</v>
      </c>
      <c r="C78" t="s">
        <v>98</v>
      </c>
      <c r="D78" t="s">
        <v>19</v>
      </c>
      <c r="E78" s="7">
        <v>190</v>
      </c>
      <c r="F78" s="85">
        <v>0</v>
      </c>
      <c r="G78" t="s">
        <v>174</v>
      </c>
    </row>
    <row r="79" spans="1:7">
      <c r="A79" s="6" t="s">
        <v>71</v>
      </c>
      <c r="B79" t="s">
        <v>73</v>
      </c>
      <c r="C79" t="s">
        <v>100</v>
      </c>
      <c r="D79" t="s">
        <v>14</v>
      </c>
      <c r="E79" s="7">
        <v>206</v>
      </c>
      <c r="F79" s="85">
        <v>2</v>
      </c>
    </row>
    <row r="80" spans="1:7">
      <c r="A80" s="6" t="s">
        <v>71</v>
      </c>
      <c r="B80">
        <v>89408</v>
      </c>
      <c r="C80" t="s">
        <v>98</v>
      </c>
      <c r="D80" t="s">
        <v>10</v>
      </c>
      <c r="E80" s="7">
        <v>195</v>
      </c>
      <c r="F80" s="85">
        <v>0</v>
      </c>
      <c r="G80" t="s">
        <v>174</v>
      </c>
    </row>
    <row r="81" spans="1:7">
      <c r="A81" s="8" t="s">
        <v>71</v>
      </c>
      <c r="B81" s="9">
        <v>89408</v>
      </c>
      <c r="C81" s="9" t="s">
        <v>100</v>
      </c>
      <c r="D81" s="9" t="s">
        <v>14</v>
      </c>
      <c r="E81" s="10">
        <v>206</v>
      </c>
      <c r="F81" s="86">
        <v>0</v>
      </c>
      <c r="G81" t="s">
        <v>174</v>
      </c>
    </row>
    <row r="82" spans="1:7">
      <c r="A82" s="3" t="s">
        <v>74</v>
      </c>
      <c r="B82" s="4">
        <v>87462</v>
      </c>
      <c r="C82" s="4" t="s">
        <v>98</v>
      </c>
      <c r="D82" s="4" t="s">
        <v>52</v>
      </c>
      <c r="E82" s="5">
        <v>99</v>
      </c>
      <c r="F82" s="82">
        <v>1</v>
      </c>
    </row>
    <row r="83" spans="1:7">
      <c r="A83" s="6" t="s">
        <v>74</v>
      </c>
      <c r="B83">
        <v>87462</v>
      </c>
      <c r="C83" t="s">
        <v>100</v>
      </c>
      <c r="D83" t="s">
        <v>10</v>
      </c>
      <c r="E83" s="7">
        <v>96</v>
      </c>
      <c r="F83" s="85">
        <v>1</v>
      </c>
    </row>
    <row r="84" spans="1:7">
      <c r="A84" s="6" t="s">
        <v>74</v>
      </c>
      <c r="B84" t="s">
        <v>76</v>
      </c>
      <c r="C84" t="s">
        <v>98</v>
      </c>
      <c r="D84" t="s">
        <v>52</v>
      </c>
      <c r="E84" s="7">
        <v>99</v>
      </c>
      <c r="F84" s="85">
        <v>0</v>
      </c>
      <c r="G84" t="s">
        <v>174</v>
      </c>
    </row>
    <row r="85" spans="1:7">
      <c r="A85" s="6" t="s">
        <v>74</v>
      </c>
      <c r="B85" t="s">
        <v>76</v>
      </c>
      <c r="C85" t="s">
        <v>100</v>
      </c>
      <c r="D85" t="s">
        <v>14</v>
      </c>
      <c r="E85" s="7">
        <v>104</v>
      </c>
      <c r="F85" s="85">
        <v>2</v>
      </c>
    </row>
    <row r="86" spans="1:7">
      <c r="A86" s="6" t="s">
        <v>74</v>
      </c>
      <c r="B86" t="s">
        <v>77</v>
      </c>
      <c r="C86" t="s">
        <v>98</v>
      </c>
      <c r="D86" t="s">
        <v>10</v>
      </c>
      <c r="E86" s="7">
        <v>96</v>
      </c>
      <c r="F86" s="85">
        <v>0</v>
      </c>
      <c r="G86" t="s">
        <v>174</v>
      </c>
    </row>
    <row r="87" spans="1:7">
      <c r="A87" s="6" t="s">
        <v>74</v>
      </c>
      <c r="B87" t="s">
        <v>77</v>
      </c>
      <c r="C87" t="s">
        <v>100</v>
      </c>
      <c r="D87" t="s">
        <v>14</v>
      </c>
      <c r="E87" s="7">
        <v>104</v>
      </c>
      <c r="F87" s="85">
        <v>0</v>
      </c>
      <c r="G87" t="s">
        <v>174</v>
      </c>
    </row>
    <row r="88" spans="1:7">
      <c r="A88" s="6" t="s">
        <v>74</v>
      </c>
      <c r="B88">
        <v>87464</v>
      </c>
      <c r="C88" t="s">
        <v>98</v>
      </c>
      <c r="D88" t="s">
        <v>75</v>
      </c>
      <c r="E88" s="7">
        <v>92</v>
      </c>
      <c r="F88" s="85">
        <v>1</v>
      </c>
    </row>
    <row r="89" spans="1:7">
      <c r="A89" s="8" t="s">
        <v>74</v>
      </c>
      <c r="B89" s="9">
        <v>87464</v>
      </c>
      <c r="C89" s="9" t="s">
        <v>100</v>
      </c>
      <c r="D89" s="9" t="s">
        <v>14</v>
      </c>
      <c r="E89" s="10">
        <v>104</v>
      </c>
      <c r="F89" s="86">
        <v>0</v>
      </c>
      <c r="G89" t="s">
        <v>174</v>
      </c>
    </row>
    <row r="90" spans="1:7">
      <c r="A90" s="3" t="s">
        <v>78</v>
      </c>
      <c r="B90" s="4" t="s">
        <v>79</v>
      </c>
      <c r="C90" s="4" t="s">
        <v>98</v>
      </c>
      <c r="D90" s="4" t="s">
        <v>19</v>
      </c>
      <c r="E90" s="5">
        <v>240</v>
      </c>
      <c r="F90" s="82">
        <v>1</v>
      </c>
    </row>
    <row r="91" spans="1:7">
      <c r="A91" s="6" t="s">
        <v>78</v>
      </c>
      <c r="B91" t="s">
        <v>79</v>
      </c>
      <c r="C91" t="s">
        <v>100</v>
      </c>
      <c r="D91" t="s">
        <v>14</v>
      </c>
      <c r="E91" s="7">
        <v>348</v>
      </c>
      <c r="F91" s="85">
        <v>2</v>
      </c>
    </row>
    <row r="92" spans="1:7">
      <c r="A92" s="6" t="s">
        <v>78</v>
      </c>
      <c r="B92" t="s">
        <v>81</v>
      </c>
      <c r="C92" t="s">
        <v>98</v>
      </c>
      <c r="D92" t="s">
        <v>19</v>
      </c>
      <c r="E92" s="7">
        <v>558</v>
      </c>
      <c r="F92" s="87">
        <v>1</v>
      </c>
      <c r="G92" s="77" t="s">
        <v>177</v>
      </c>
    </row>
    <row r="93" spans="1:7">
      <c r="A93" s="8" t="s">
        <v>78</v>
      </c>
      <c r="B93" s="9" t="s">
        <v>81</v>
      </c>
      <c r="C93" s="9" t="s">
        <v>100</v>
      </c>
      <c r="D93" s="9" t="s">
        <v>14</v>
      </c>
      <c r="E93" s="10">
        <v>348</v>
      </c>
      <c r="F93" s="86">
        <v>0</v>
      </c>
      <c r="G93" t="s">
        <v>174</v>
      </c>
    </row>
    <row r="94" spans="1:7">
      <c r="A94" s="3" t="s">
        <v>82</v>
      </c>
      <c r="B94" s="4">
        <v>90475</v>
      </c>
      <c r="C94" s="4" t="s">
        <v>98</v>
      </c>
      <c r="D94" s="4" t="s">
        <v>83</v>
      </c>
      <c r="E94" s="5">
        <v>49</v>
      </c>
      <c r="F94" s="82">
        <v>1</v>
      </c>
    </row>
    <row r="95" spans="1:7">
      <c r="A95" s="8" t="s">
        <v>82</v>
      </c>
      <c r="B95" s="9">
        <v>90475</v>
      </c>
      <c r="C95" s="9" t="s">
        <v>100</v>
      </c>
      <c r="D95" s="9" t="s">
        <v>14</v>
      </c>
      <c r="E95" s="10">
        <v>47</v>
      </c>
      <c r="F95" s="86">
        <v>2</v>
      </c>
    </row>
    <row r="96" spans="1:7">
      <c r="A96" s="3" t="s">
        <v>84</v>
      </c>
      <c r="B96" s="4" t="s">
        <v>85</v>
      </c>
      <c r="C96" s="4" t="s">
        <v>98</v>
      </c>
      <c r="D96" s="4" t="s">
        <v>10</v>
      </c>
      <c r="E96" s="5">
        <v>91</v>
      </c>
      <c r="F96" s="82">
        <v>1</v>
      </c>
    </row>
    <row r="97" spans="1:7">
      <c r="A97" s="6" t="s">
        <v>84</v>
      </c>
      <c r="B97" t="s">
        <v>85</v>
      </c>
      <c r="C97" t="s">
        <v>100</v>
      </c>
      <c r="D97" t="s">
        <v>14</v>
      </c>
      <c r="E97" s="7">
        <v>114</v>
      </c>
      <c r="F97" s="85">
        <v>2</v>
      </c>
    </row>
    <row r="98" spans="1:7">
      <c r="A98" s="6" t="s">
        <v>84</v>
      </c>
      <c r="B98" t="s">
        <v>87</v>
      </c>
      <c r="C98" t="s">
        <v>98</v>
      </c>
      <c r="D98" t="s">
        <v>10</v>
      </c>
      <c r="E98" s="7">
        <v>79</v>
      </c>
      <c r="F98" s="87">
        <v>1</v>
      </c>
      <c r="G98" s="77" t="s">
        <v>178</v>
      </c>
    </row>
    <row r="99" spans="1:7">
      <c r="A99" s="8" t="s">
        <v>84</v>
      </c>
      <c r="B99" s="9" t="s">
        <v>87</v>
      </c>
      <c r="C99" s="9" t="s">
        <v>100</v>
      </c>
      <c r="D99" s="9" t="s">
        <v>14</v>
      </c>
      <c r="E99" s="10">
        <v>114</v>
      </c>
      <c r="F99" s="86">
        <v>0</v>
      </c>
    </row>
    <row r="100" spans="1:7">
      <c r="A100" s="3" t="s">
        <v>88</v>
      </c>
      <c r="B100" s="4">
        <v>90510</v>
      </c>
      <c r="C100" s="4" t="s">
        <v>98</v>
      </c>
      <c r="D100" s="4" t="s">
        <v>10</v>
      </c>
      <c r="E100" s="5">
        <v>48</v>
      </c>
      <c r="F100" s="82">
        <v>1</v>
      </c>
    </row>
    <row r="101" spans="1:7">
      <c r="A101" s="8" t="s">
        <v>88</v>
      </c>
      <c r="B101" s="9">
        <v>90510</v>
      </c>
      <c r="C101" s="9" t="s">
        <v>100</v>
      </c>
      <c r="D101" s="9" t="s">
        <v>14</v>
      </c>
      <c r="E101" s="10">
        <v>20</v>
      </c>
      <c r="F101" s="86">
        <v>2</v>
      </c>
    </row>
    <row r="102" spans="1:7">
      <c r="A102" s="3" t="s">
        <v>90</v>
      </c>
      <c r="B102" s="4">
        <v>90584</v>
      </c>
      <c r="C102" s="4" t="s">
        <v>98</v>
      </c>
      <c r="D102" s="4" t="s">
        <v>10</v>
      </c>
      <c r="E102" s="5">
        <v>60</v>
      </c>
      <c r="F102" s="82">
        <v>1</v>
      </c>
    </row>
    <row r="103" spans="1:7">
      <c r="A103" s="8" t="s">
        <v>90</v>
      </c>
      <c r="B103" s="9">
        <v>90584</v>
      </c>
      <c r="C103" s="9" t="s">
        <v>100</v>
      </c>
      <c r="D103" s="9" t="s">
        <v>14</v>
      </c>
      <c r="E103" s="10">
        <v>57</v>
      </c>
      <c r="F103" s="86">
        <v>2</v>
      </c>
    </row>
    <row r="104" spans="1:7">
      <c r="A104" s="3" t="s">
        <v>92</v>
      </c>
      <c r="B104" s="4" t="s">
        <v>93</v>
      </c>
      <c r="C104" s="4" t="s">
        <v>98</v>
      </c>
      <c r="D104" s="4" t="s">
        <v>19</v>
      </c>
      <c r="E104" s="5">
        <v>85</v>
      </c>
      <c r="F104" s="82">
        <v>1</v>
      </c>
    </row>
    <row r="105" spans="1:7">
      <c r="A105" s="6" t="s">
        <v>92</v>
      </c>
      <c r="B105" t="s">
        <v>93</v>
      </c>
      <c r="C105" t="s">
        <v>100</v>
      </c>
      <c r="D105" t="s">
        <v>14</v>
      </c>
      <c r="E105" s="7">
        <v>130</v>
      </c>
      <c r="F105" s="85">
        <v>2</v>
      </c>
    </row>
    <row r="106" spans="1:7">
      <c r="A106" s="6" t="s">
        <v>92</v>
      </c>
      <c r="B106" t="s">
        <v>94</v>
      </c>
      <c r="C106" t="s">
        <v>98</v>
      </c>
      <c r="D106" t="s">
        <v>19</v>
      </c>
      <c r="E106" s="7">
        <v>214</v>
      </c>
      <c r="F106" s="87">
        <v>1</v>
      </c>
      <c r="G106" s="77" t="s">
        <v>179</v>
      </c>
    </row>
    <row r="107" spans="1:7">
      <c r="A107" s="8" t="s">
        <v>92</v>
      </c>
      <c r="B107" s="9" t="s">
        <v>94</v>
      </c>
      <c r="C107" s="9" t="s">
        <v>100</v>
      </c>
      <c r="D107" s="9" t="s">
        <v>14</v>
      </c>
      <c r="E107" s="10">
        <v>130</v>
      </c>
      <c r="F107" s="86">
        <v>0</v>
      </c>
    </row>
    <row r="108" spans="1:7">
      <c r="A108" s="6" t="s">
        <v>95</v>
      </c>
      <c r="B108">
        <v>90587</v>
      </c>
      <c r="C108" t="s">
        <v>98</v>
      </c>
      <c r="D108" t="s">
        <v>83</v>
      </c>
      <c r="E108" s="7">
        <v>65</v>
      </c>
      <c r="F108" s="85">
        <v>1</v>
      </c>
    </row>
    <row r="109" spans="1:7">
      <c r="A109" s="8" t="s">
        <v>95</v>
      </c>
      <c r="B109" s="9">
        <v>90587</v>
      </c>
      <c r="C109" s="9" t="s">
        <v>100</v>
      </c>
      <c r="D109" s="9" t="s">
        <v>14</v>
      </c>
      <c r="E109" s="10">
        <v>65</v>
      </c>
      <c r="F109" s="86">
        <v>2</v>
      </c>
    </row>
  </sheetData>
  <autoFilter ref="A1:G110" xr:uid="{0A4F7283-3DA4-4130-A163-925372471D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5D72-607C-4EE2-98A3-187F1B0C7267}">
  <sheetPr filterMode="1"/>
  <dimension ref="A1:G49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25"/>
  <cols>
    <col min="1" max="1" width="9.375" bestFit="1" customWidth="1"/>
    <col min="2" max="2" width="14.375" bestFit="1" customWidth="1"/>
    <col min="3" max="3" width="16.625" bestFit="1" customWidth="1"/>
    <col min="4" max="4" width="23.375" bestFit="1" customWidth="1"/>
    <col min="5" max="5" width="19.125" bestFit="1" customWidth="1"/>
    <col min="6" max="6" width="44.5" style="84" customWidth="1"/>
  </cols>
  <sheetData>
    <row r="1" spans="1:7" s="2" customFormat="1" ht="60">
      <c r="A1" s="2" t="s">
        <v>0</v>
      </c>
      <c r="B1" s="2" t="s">
        <v>1</v>
      </c>
      <c r="C1" s="2" t="s">
        <v>4</v>
      </c>
      <c r="D1" s="2" t="s">
        <v>97</v>
      </c>
      <c r="E1" s="2" t="s">
        <v>5</v>
      </c>
      <c r="F1" s="88" t="s">
        <v>183</v>
      </c>
    </row>
    <row r="2" spans="1:7">
      <c r="A2" s="3" t="s">
        <v>114</v>
      </c>
      <c r="B2" s="4">
        <v>86186</v>
      </c>
      <c r="C2" s="4" t="s">
        <v>98</v>
      </c>
      <c r="D2" s="4" t="s">
        <v>117</v>
      </c>
      <c r="E2" s="4">
        <v>73</v>
      </c>
      <c r="F2" s="82">
        <v>1</v>
      </c>
    </row>
    <row r="3" spans="1:7">
      <c r="A3" s="6" t="s">
        <v>114</v>
      </c>
      <c r="B3" s="90">
        <v>86186</v>
      </c>
      <c r="C3" s="90" t="s">
        <v>100</v>
      </c>
      <c r="D3" s="90" t="s">
        <v>14</v>
      </c>
      <c r="E3" s="90">
        <v>70</v>
      </c>
      <c r="F3" s="85">
        <v>2</v>
      </c>
    </row>
    <row r="4" spans="1:7" hidden="1">
      <c r="A4" s="6" t="s">
        <v>114</v>
      </c>
      <c r="B4" s="90">
        <v>87223</v>
      </c>
      <c r="C4" s="90" t="s">
        <v>98</v>
      </c>
      <c r="D4" s="90" t="s">
        <v>117</v>
      </c>
      <c r="E4" s="90">
        <v>69</v>
      </c>
      <c r="F4" s="85">
        <v>0</v>
      </c>
      <c r="G4" t="s">
        <v>174</v>
      </c>
    </row>
    <row r="5" spans="1:7">
      <c r="A5" s="6" t="s">
        <v>114</v>
      </c>
      <c r="B5" s="90">
        <v>87223</v>
      </c>
      <c r="C5" s="90" t="s">
        <v>100</v>
      </c>
      <c r="D5" s="90" t="s">
        <v>75</v>
      </c>
      <c r="E5" s="90">
        <v>73</v>
      </c>
      <c r="F5" s="85">
        <v>1</v>
      </c>
    </row>
    <row r="6" spans="1:7" hidden="1">
      <c r="A6" s="6" t="s">
        <v>114</v>
      </c>
      <c r="B6" s="90">
        <v>89765</v>
      </c>
      <c r="C6" s="90" t="s">
        <v>98</v>
      </c>
      <c r="D6" s="90" t="s">
        <v>75</v>
      </c>
      <c r="E6" s="90">
        <v>69</v>
      </c>
      <c r="F6" s="85">
        <v>0</v>
      </c>
      <c r="G6" t="s">
        <v>174</v>
      </c>
    </row>
    <row r="7" spans="1:7" hidden="1">
      <c r="A7" s="8" t="s">
        <v>114</v>
      </c>
      <c r="B7" s="9">
        <v>89765</v>
      </c>
      <c r="C7" s="9" t="s">
        <v>100</v>
      </c>
      <c r="D7" s="9" t="s">
        <v>14</v>
      </c>
      <c r="E7" s="9">
        <v>70</v>
      </c>
      <c r="F7" s="86">
        <v>0</v>
      </c>
      <c r="G7" t="s">
        <v>174</v>
      </c>
    </row>
    <row r="8" spans="1:7">
      <c r="A8" s="3" t="s">
        <v>139</v>
      </c>
      <c r="B8" s="4">
        <v>77773</v>
      </c>
      <c r="C8" s="4" t="s">
        <v>98</v>
      </c>
      <c r="D8" s="4" t="s">
        <v>42</v>
      </c>
      <c r="E8" s="4">
        <v>129</v>
      </c>
      <c r="F8" s="82">
        <v>1</v>
      </c>
    </row>
    <row r="9" spans="1:7">
      <c r="A9" s="8" t="s">
        <v>139</v>
      </c>
      <c r="B9" s="9">
        <v>77773</v>
      </c>
      <c r="C9" s="9" t="s">
        <v>100</v>
      </c>
      <c r="D9" s="9" t="s">
        <v>14</v>
      </c>
      <c r="E9" s="9">
        <v>130</v>
      </c>
      <c r="F9" s="86">
        <v>2</v>
      </c>
    </row>
    <row r="10" spans="1:7">
      <c r="A10" s="3" t="s">
        <v>141</v>
      </c>
      <c r="B10" s="4" t="s">
        <v>142</v>
      </c>
      <c r="C10" s="4" t="s">
        <v>98</v>
      </c>
      <c r="D10" s="4" t="s">
        <v>42</v>
      </c>
      <c r="E10" s="4">
        <v>71</v>
      </c>
      <c r="F10" s="82">
        <v>1</v>
      </c>
    </row>
    <row r="11" spans="1:7">
      <c r="A11" s="6" t="s">
        <v>141</v>
      </c>
      <c r="B11" s="90" t="s">
        <v>142</v>
      </c>
      <c r="C11" s="90" t="s">
        <v>100</v>
      </c>
      <c r="D11" s="90" t="s">
        <v>14</v>
      </c>
      <c r="E11" s="90">
        <v>70</v>
      </c>
      <c r="F11" s="85">
        <v>2</v>
      </c>
    </row>
    <row r="12" spans="1:7" hidden="1">
      <c r="A12" s="6" t="s">
        <v>141</v>
      </c>
      <c r="B12" s="90">
        <v>89813</v>
      </c>
      <c r="C12" s="90" t="s">
        <v>98</v>
      </c>
      <c r="D12" s="90" t="s">
        <v>42</v>
      </c>
      <c r="E12" s="90">
        <v>72</v>
      </c>
      <c r="F12" s="85">
        <v>0</v>
      </c>
      <c r="G12" t="s">
        <v>174</v>
      </c>
    </row>
    <row r="13" spans="1:7" hidden="1">
      <c r="A13" s="8" t="s">
        <v>141</v>
      </c>
      <c r="B13" s="9">
        <v>89813</v>
      </c>
      <c r="C13" s="9" t="s">
        <v>100</v>
      </c>
      <c r="D13" s="9" t="s">
        <v>14</v>
      </c>
      <c r="E13" s="9">
        <v>70</v>
      </c>
      <c r="F13" s="86">
        <v>0</v>
      </c>
      <c r="G13" t="s">
        <v>174</v>
      </c>
    </row>
    <row r="14" spans="1:7">
      <c r="A14" s="3" t="s">
        <v>69</v>
      </c>
      <c r="B14" s="4">
        <v>87461</v>
      </c>
      <c r="C14" s="4" t="s">
        <v>98</v>
      </c>
      <c r="D14" s="4" t="s">
        <v>19</v>
      </c>
      <c r="E14" s="4">
        <v>15</v>
      </c>
      <c r="F14" s="82">
        <v>1</v>
      </c>
    </row>
    <row r="15" spans="1:7">
      <c r="A15" s="8" t="s">
        <v>69</v>
      </c>
      <c r="B15" s="9">
        <v>87461</v>
      </c>
      <c r="C15" s="9" t="s">
        <v>100</v>
      </c>
      <c r="D15" s="9" t="s">
        <v>14</v>
      </c>
      <c r="E15" s="9">
        <v>17</v>
      </c>
      <c r="F15" s="86">
        <v>2</v>
      </c>
    </row>
    <row r="16" spans="1:7">
      <c r="A16" s="3" t="s">
        <v>145</v>
      </c>
      <c r="B16" s="4">
        <v>88118</v>
      </c>
      <c r="C16" s="4" t="s">
        <v>98</v>
      </c>
      <c r="D16" s="4" t="s">
        <v>42</v>
      </c>
      <c r="E16" s="4">
        <v>28</v>
      </c>
      <c r="F16" s="82">
        <v>1</v>
      </c>
    </row>
    <row r="17" spans="1:7">
      <c r="A17" s="8" t="s">
        <v>145</v>
      </c>
      <c r="B17" s="9">
        <v>88118</v>
      </c>
      <c r="C17" s="9" t="s">
        <v>100</v>
      </c>
      <c r="D17" s="9" t="s">
        <v>14</v>
      </c>
      <c r="E17" s="9">
        <v>23</v>
      </c>
      <c r="F17" s="86">
        <v>2</v>
      </c>
    </row>
    <row r="18" spans="1:7">
      <c r="A18" s="3" t="s">
        <v>147</v>
      </c>
      <c r="B18" s="4">
        <v>86415</v>
      </c>
      <c r="C18" s="4" t="s">
        <v>98</v>
      </c>
      <c r="D18" s="4" t="s">
        <v>75</v>
      </c>
      <c r="E18" s="4">
        <v>25</v>
      </c>
      <c r="F18" s="82">
        <v>1</v>
      </c>
    </row>
    <row r="19" spans="1:7">
      <c r="A19" s="8" t="s">
        <v>147</v>
      </c>
      <c r="B19" s="9">
        <v>86415</v>
      </c>
      <c r="C19" s="9" t="s">
        <v>100</v>
      </c>
      <c r="D19" s="9" t="s">
        <v>14</v>
      </c>
      <c r="E19" s="9">
        <v>27</v>
      </c>
      <c r="F19" s="86">
        <v>2</v>
      </c>
    </row>
    <row r="20" spans="1:7">
      <c r="A20" s="3" t="s">
        <v>148</v>
      </c>
      <c r="B20" s="4">
        <v>86431</v>
      </c>
      <c r="C20" s="4" t="s">
        <v>98</v>
      </c>
      <c r="D20" s="4" t="s">
        <v>150</v>
      </c>
      <c r="E20" s="4">
        <v>87</v>
      </c>
      <c r="F20" s="82">
        <v>1</v>
      </c>
    </row>
    <row r="21" spans="1:7">
      <c r="A21" s="8" t="s">
        <v>148</v>
      </c>
      <c r="B21" s="9">
        <v>86431</v>
      </c>
      <c r="C21" s="9" t="s">
        <v>100</v>
      </c>
      <c r="D21" s="9" t="s">
        <v>14</v>
      </c>
      <c r="E21" s="9">
        <v>99</v>
      </c>
      <c r="F21" s="86">
        <v>2</v>
      </c>
    </row>
    <row r="22" spans="1:7">
      <c r="A22" s="3" t="s">
        <v>151</v>
      </c>
      <c r="B22" s="4">
        <v>88710</v>
      </c>
      <c r="C22" s="4" t="s">
        <v>98</v>
      </c>
      <c r="D22" s="4" t="s">
        <v>75</v>
      </c>
      <c r="E22" s="4">
        <v>29</v>
      </c>
      <c r="F22" s="82">
        <v>1</v>
      </c>
    </row>
    <row r="23" spans="1:7">
      <c r="A23" s="6" t="s">
        <v>151</v>
      </c>
      <c r="B23" s="90">
        <v>88710</v>
      </c>
      <c r="C23" s="90" t="s">
        <v>100</v>
      </c>
      <c r="D23" s="90" t="s">
        <v>14</v>
      </c>
      <c r="E23" s="90">
        <v>29</v>
      </c>
      <c r="F23" s="85">
        <v>2</v>
      </c>
    </row>
    <row r="24" spans="1:7" hidden="1">
      <c r="A24" s="6" t="s">
        <v>151</v>
      </c>
      <c r="B24" s="90" t="s">
        <v>153</v>
      </c>
      <c r="C24" s="90" t="s">
        <v>98</v>
      </c>
      <c r="D24" s="90" t="s">
        <v>75</v>
      </c>
      <c r="E24" s="90">
        <v>26</v>
      </c>
      <c r="F24" s="85">
        <v>0</v>
      </c>
      <c r="G24" t="s">
        <v>174</v>
      </c>
    </row>
    <row r="25" spans="1:7" hidden="1">
      <c r="A25" s="8" t="s">
        <v>151</v>
      </c>
      <c r="B25" s="9" t="s">
        <v>153</v>
      </c>
      <c r="C25" s="9" t="s">
        <v>100</v>
      </c>
      <c r="D25" s="9" t="s">
        <v>14</v>
      </c>
      <c r="E25" s="9">
        <v>29</v>
      </c>
      <c r="F25" s="86">
        <v>0</v>
      </c>
      <c r="G25" t="s">
        <v>174</v>
      </c>
    </row>
    <row r="26" spans="1:7">
      <c r="A26" s="3" t="s">
        <v>154</v>
      </c>
      <c r="B26" s="4">
        <v>88692</v>
      </c>
      <c r="C26" s="4" t="s">
        <v>98</v>
      </c>
      <c r="D26" s="4" t="s">
        <v>117</v>
      </c>
      <c r="E26" s="4">
        <v>46</v>
      </c>
      <c r="F26" s="82">
        <v>1</v>
      </c>
    </row>
    <row r="27" spans="1:7">
      <c r="A27" s="6" t="s">
        <v>154</v>
      </c>
      <c r="B27" s="90">
        <v>88692</v>
      </c>
      <c r="C27" s="90" t="s">
        <v>100</v>
      </c>
      <c r="D27" s="90" t="s">
        <v>75</v>
      </c>
      <c r="E27" s="90">
        <v>45</v>
      </c>
      <c r="F27" s="85">
        <v>1</v>
      </c>
    </row>
    <row r="28" spans="1:7" hidden="1">
      <c r="A28" s="6" t="s">
        <v>154</v>
      </c>
      <c r="B28" s="90">
        <v>88693</v>
      </c>
      <c r="C28" s="90" t="s">
        <v>98</v>
      </c>
      <c r="D28" s="90" t="s">
        <v>117</v>
      </c>
      <c r="E28" s="90">
        <v>45</v>
      </c>
      <c r="F28" s="85">
        <v>0</v>
      </c>
      <c r="G28" t="s">
        <v>174</v>
      </c>
    </row>
    <row r="29" spans="1:7">
      <c r="A29" s="6" t="s">
        <v>154</v>
      </c>
      <c r="B29" s="90">
        <v>88693</v>
      </c>
      <c r="C29" s="90" t="s">
        <v>100</v>
      </c>
      <c r="D29" s="90" t="s">
        <v>14</v>
      </c>
      <c r="E29" s="90">
        <v>52</v>
      </c>
      <c r="F29" s="85">
        <v>2</v>
      </c>
    </row>
    <row r="30" spans="1:7" hidden="1">
      <c r="A30" s="6" t="s">
        <v>154</v>
      </c>
      <c r="B30" s="90" t="s">
        <v>157</v>
      </c>
      <c r="C30" s="90" t="s">
        <v>98</v>
      </c>
      <c r="D30" s="90" t="s">
        <v>75</v>
      </c>
      <c r="E30" s="90">
        <v>46</v>
      </c>
      <c r="F30" s="85">
        <v>0</v>
      </c>
      <c r="G30" t="s">
        <v>174</v>
      </c>
    </row>
    <row r="31" spans="1:7" hidden="1">
      <c r="A31" s="8" t="s">
        <v>154</v>
      </c>
      <c r="B31" s="9" t="s">
        <v>157</v>
      </c>
      <c r="C31" s="9" t="s">
        <v>100</v>
      </c>
      <c r="D31" s="9" t="s">
        <v>14</v>
      </c>
      <c r="E31" s="9">
        <v>52</v>
      </c>
      <c r="F31" s="86">
        <v>0</v>
      </c>
      <c r="G31" t="s">
        <v>174</v>
      </c>
    </row>
    <row r="32" spans="1:7">
      <c r="A32" s="3" t="s">
        <v>158</v>
      </c>
      <c r="B32" s="4">
        <v>88775</v>
      </c>
      <c r="C32" s="4" t="s">
        <v>98</v>
      </c>
      <c r="D32" s="4" t="s">
        <v>117</v>
      </c>
      <c r="E32" s="4">
        <v>76</v>
      </c>
      <c r="F32" s="82">
        <v>1</v>
      </c>
    </row>
    <row r="33" spans="1:7">
      <c r="A33" s="6" t="s">
        <v>158</v>
      </c>
      <c r="B33" s="90">
        <v>88775</v>
      </c>
      <c r="C33" s="90" t="s">
        <v>100</v>
      </c>
      <c r="D33" s="90" t="s">
        <v>14</v>
      </c>
      <c r="E33" s="90">
        <v>76</v>
      </c>
      <c r="F33" s="85">
        <v>2</v>
      </c>
    </row>
    <row r="34" spans="1:7" hidden="1">
      <c r="A34" s="6" t="s">
        <v>158</v>
      </c>
      <c r="B34" s="90">
        <v>89179</v>
      </c>
      <c r="C34" s="90" t="s">
        <v>98</v>
      </c>
      <c r="D34" s="90" t="s">
        <v>117</v>
      </c>
      <c r="E34" s="90">
        <v>73</v>
      </c>
      <c r="F34" s="85">
        <v>0</v>
      </c>
      <c r="G34" t="s">
        <v>174</v>
      </c>
    </row>
    <row r="35" spans="1:7" hidden="1">
      <c r="A35" s="8" t="s">
        <v>158</v>
      </c>
      <c r="B35" s="9">
        <v>89179</v>
      </c>
      <c r="C35" s="9" t="s">
        <v>100</v>
      </c>
      <c r="D35" s="9" t="s">
        <v>14</v>
      </c>
      <c r="E35" s="9">
        <v>76</v>
      </c>
      <c r="F35" s="86">
        <v>0</v>
      </c>
      <c r="G35" t="s">
        <v>174</v>
      </c>
    </row>
    <row r="36" spans="1:7">
      <c r="A36" s="3" t="s">
        <v>160</v>
      </c>
      <c r="B36" s="4">
        <v>82135</v>
      </c>
      <c r="C36" s="4" t="s">
        <v>98</v>
      </c>
      <c r="D36" s="4" t="s">
        <v>162</v>
      </c>
      <c r="E36" s="4">
        <v>79</v>
      </c>
      <c r="F36" s="82">
        <v>1</v>
      </c>
    </row>
    <row r="37" spans="1:7">
      <c r="A37" s="6" t="s">
        <v>160</v>
      </c>
      <c r="B37" s="90">
        <v>82135</v>
      </c>
      <c r="C37" s="90" t="s">
        <v>100</v>
      </c>
      <c r="D37" s="90" t="s">
        <v>14</v>
      </c>
      <c r="E37" s="90">
        <v>80</v>
      </c>
      <c r="F37" s="85">
        <v>2</v>
      </c>
    </row>
    <row r="38" spans="1:7">
      <c r="A38" s="6" t="s">
        <v>160</v>
      </c>
      <c r="B38" s="90">
        <v>86189</v>
      </c>
      <c r="C38" s="90" t="s">
        <v>98</v>
      </c>
      <c r="D38" s="90" t="s">
        <v>117</v>
      </c>
      <c r="E38" s="90">
        <v>84</v>
      </c>
      <c r="F38" s="85">
        <v>1</v>
      </c>
    </row>
    <row r="39" spans="1:7" hidden="1">
      <c r="A39" s="6" t="s">
        <v>160</v>
      </c>
      <c r="B39" s="90">
        <v>86189</v>
      </c>
      <c r="C39" s="90" t="s">
        <v>100</v>
      </c>
      <c r="D39" s="90" t="s">
        <v>14</v>
      </c>
      <c r="E39" s="90">
        <v>80</v>
      </c>
      <c r="F39" s="85">
        <v>0</v>
      </c>
      <c r="G39" t="s">
        <v>174</v>
      </c>
    </row>
    <row r="40" spans="1:7" hidden="1">
      <c r="A40" s="6" t="s">
        <v>160</v>
      </c>
      <c r="B40" s="90">
        <v>87221</v>
      </c>
      <c r="C40" s="90" t="s">
        <v>98</v>
      </c>
      <c r="D40" s="90" t="s">
        <v>117</v>
      </c>
      <c r="E40" s="90">
        <v>84</v>
      </c>
      <c r="F40" s="85">
        <v>0</v>
      </c>
      <c r="G40" t="s">
        <v>174</v>
      </c>
    </row>
    <row r="41" spans="1:7" hidden="1">
      <c r="A41" s="8" t="s">
        <v>160</v>
      </c>
      <c r="B41" s="9">
        <v>87221</v>
      </c>
      <c r="C41" s="9" t="s">
        <v>100</v>
      </c>
      <c r="D41" s="9" t="s">
        <v>162</v>
      </c>
      <c r="E41" s="9">
        <v>79</v>
      </c>
      <c r="F41" s="86">
        <v>0</v>
      </c>
      <c r="G41" t="s">
        <v>174</v>
      </c>
    </row>
    <row r="42" spans="1:7">
      <c r="A42" s="3" t="s">
        <v>163</v>
      </c>
      <c r="B42" s="4">
        <v>90473</v>
      </c>
      <c r="C42" s="4" t="s">
        <v>98</v>
      </c>
      <c r="D42" s="4" t="s">
        <v>42</v>
      </c>
      <c r="E42" s="4">
        <v>110</v>
      </c>
      <c r="F42" s="82">
        <v>1</v>
      </c>
    </row>
    <row r="43" spans="1:7">
      <c r="A43" s="8" t="s">
        <v>163</v>
      </c>
      <c r="B43" s="9">
        <v>90473</v>
      </c>
      <c r="C43" s="9" t="s">
        <v>100</v>
      </c>
      <c r="D43" s="9" t="s">
        <v>14</v>
      </c>
      <c r="E43" s="9">
        <v>84</v>
      </c>
      <c r="F43" s="86">
        <v>2</v>
      </c>
    </row>
    <row r="44" spans="1:7">
      <c r="A44" s="3" t="s">
        <v>165</v>
      </c>
      <c r="B44" s="4">
        <v>90508</v>
      </c>
      <c r="C44" s="4" t="s">
        <v>98</v>
      </c>
      <c r="D44" s="4" t="s">
        <v>167</v>
      </c>
      <c r="E44" s="4">
        <v>28</v>
      </c>
      <c r="F44" s="82">
        <v>1</v>
      </c>
    </row>
    <row r="45" spans="1:7">
      <c r="A45" s="8" t="s">
        <v>165</v>
      </c>
      <c r="B45" s="9">
        <v>90508</v>
      </c>
      <c r="C45" s="9" t="s">
        <v>100</v>
      </c>
      <c r="D45" s="9" t="s">
        <v>14</v>
      </c>
      <c r="E45" s="9">
        <v>31</v>
      </c>
      <c r="F45" s="86">
        <v>2</v>
      </c>
    </row>
    <row r="46" spans="1:7">
      <c r="A46" s="6" t="s">
        <v>168</v>
      </c>
      <c r="B46" s="90" t="s">
        <v>169</v>
      </c>
      <c r="C46" s="90" t="s">
        <v>98</v>
      </c>
      <c r="D46" s="90" t="s">
        <v>75</v>
      </c>
      <c r="E46" s="90">
        <v>44</v>
      </c>
      <c r="F46" s="85">
        <v>1</v>
      </c>
    </row>
    <row r="47" spans="1:7">
      <c r="A47" s="6" t="s">
        <v>168</v>
      </c>
      <c r="B47" s="90" t="s">
        <v>169</v>
      </c>
      <c r="C47" s="90" t="s">
        <v>100</v>
      </c>
      <c r="D47" s="90" t="s">
        <v>14</v>
      </c>
      <c r="E47" s="90">
        <v>50</v>
      </c>
      <c r="F47" s="85">
        <v>2</v>
      </c>
    </row>
    <row r="48" spans="1:7" hidden="1">
      <c r="A48" s="6" t="s">
        <v>168</v>
      </c>
      <c r="B48" s="90" t="s">
        <v>170</v>
      </c>
      <c r="C48" s="90" t="s">
        <v>98</v>
      </c>
      <c r="D48" s="90" t="s">
        <v>75</v>
      </c>
      <c r="E48" s="90">
        <v>48</v>
      </c>
      <c r="F48" s="85">
        <v>0</v>
      </c>
      <c r="G48" t="s">
        <v>174</v>
      </c>
    </row>
    <row r="49" spans="1:7" hidden="1">
      <c r="A49" s="8" t="s">
        <v>168</v>
      </c>
      <c r="B49" s="9" t="s">
        <v>170</v>
      </c>
      <c r="C49" s="9" t="s">
        <v>100</v>
      </c>
      <c r="D49" s="9" t="s">
        <v>14</v>
      </c>
      <c r="E49" s="9">
        <v>50</v>
      </c>
      <c r="F49" s="86">
        <v>0</v>
      </c>
      <c r="G49" t="s">
        <v>174</v>
      </c>
    </row>
  </sheetData>
  <autoFilter ref="A1:G49" xr:uid="{41275D72-607C-4EE2-98A3-187F1B0C7267}">
    <filterColumn colId="5">
      <filters>
        <filter val="1"/>
        <filter val="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88C0-F128-4DF8-9AE8-A976325A7779}">
  <dimension ref="A1:E109"/>
  <sheetViews>
    <sheetView topLeftCell="A24" workbookViewId="0">
      <selection activeCell="A46" sqref="A46:E49"/>
    </sheetView>
  </sheetViews>
  <sheetFormatPr defaultRowHeight="14.25"/>
  <cols>
    <col min="1" max="1" width="8.5" bestFit="1" customWidth="1"/>
    <col min="2" max="2" width="14.375" bestFit="1" customWidth="1"/>
    <col min="3" max="3" width="16.625" bestFit="1" customWidth="1"/>
    <col min="4" max="4" width="23.375" bestFit="1" customWidth="1"/>
    <col min="5" max="5" width="19.125" bestFit="1" customWidth="1"/>
  </cols>
  <sheetData>
    <row r="1" spans="1:5" ht="15">
      <c r="A1" s="1" t="s">
        <v>0</v>
      </c>
      <c r="B1" s="1" t="s">
        <v>1</v>
      </c>
      <c r="C1" s="1" t="s">
        <v>173</v>
      </c>
      <c r="D1" s="1" t="s">
        <v>97</v>
      </c>
      <c r="E1" s="1" t="s">
        <v>5</v>
      </c>
    </row>
    <row r="2" spans="1:5">
      <c r="A2" s="3" t="s">
        <v>6</v>
      </c>
      <c r="B2" s="4">
        <v>74210</v>
      </c>
      <c r="C2" s="4" t="s">
        <v>98</v>
      </c>
      <c r="D2" s="4" t="s">
        <v>10</v>
      </c>
      <c r="E2" s="5">
        <v>31</v>
      </c>
    </row>
    <row r="3" spans="1:5">
      <c r="A3" s="6" t="s">
        <v>6</v>
      </c>
      <c r="B3">
        <v>74210</v>
      </c>
      <c r="C3" t="s">
        <v>100</v>
      </c>
      <c r="D3" t="s">
        <v>12</v>
      </c>
      <c r="E3" s="7">
        <v>32</v>
      </c>
    </row>
    <row r="4" spans="1:5">
      <c r="A4" s="6" t="s">
        <v>6</v>
      </c>
      <c r="B4">
        <v>87216</v>
      </c>
      <c r="C4" t="s">
        <v>98</v>
      </c>
      <c r="D4" t="s">
        <v>12</v>
      </c>
      <c r="E4" s="7">
        <v>32</v>
      </c>
    </row>
    <row r="5" spans="1:5">
      <c r="A5" s="6" t="s">
        <v>6</v>
      </c>
      <c r="B5">
        <v>87216</v>
      </c>
      <c r="C5" t="s">
        <v>100</v>
      </c>
      <c r="D5" t="s">
        <v>14</v>
      </c>
      <c r="E5" s="7">
        <v>35</v>
      </c>
    </row>
    <row r="6" spans="1:5">
      <c r="A6" s="6" t="s">
        <v>6</v>
      </c>
      <c r="B6">
        <v>87217</v>
      </c>
      <c r="C6" t="s">
        <v>98</v>
      </c>
      <c r="D6" t="s">
        <v>10</v>
      </c>
      <c r="E6" s="7">
        <v>31</v>
      </c>
    </row>
    <row r="7" spans="1:5">
      <c r="A7" s="8" t="s">
        <v>6</v>
      </c>
      <c r="B7" s="9">
        <v>87217</v>
      </c>
      <c r="C7" s="9" t="s">
        <v>100</v>
      </c>
      <c r="D7" s="9" t="s">
        <v>14</v>
      </c>
      <c r="E7" s="10">
        <v>35</v>
      </c>
    </row>
    <row r="8" spans="1:5">
      <c r="A8" s="3" t="s">
        <v>15</v>
      </c>
      <c r="B8" s="4">
        <v>74201</v>
      </c>
      <c r="C8" s="4" t="s">
        <v>98</v>
      </c>
      <c r="D8" s="4" t="s">
        <v>12</v>
      </c>
      <c r="E8" s="5">
        <v>16</v>
      </c>
    </row>
    <row r="9" spans="1:5">
      <c r="A9" s="8" t="s">
        <v>15</v>
      </c>
      <c r="B9" s="9">
        <v>74201</v>
      </c>
      <c r="C9" s="9" t="s">
        <v>100</v>
      </c>
      <c r="D9" s="9" t="s">
        <v>14</v>
      </c>
      <c r="E9" s="10">
        <v>19</v>
      </c>
    </row>
    <row r="10" spans="1:5">
      <c r="A10" s="3" t="s">
        <v>17</v>
      </c>
      <c r="B10" s="4">
        <v>86432</v>
      </c>
      <c r="C10" s="4" t="s">
        <v>98</v>
      </c>
      <c r="D10" s="4" t="s">
        <v>19</v>
      </c>
      <c r="E10" s="5">
        <v>47</v>
      </c>
    </row>
    <row r="11" spans="1:5">
      <c r="A11" s="8" t="s">
        <v>17</v>
      </c>
      <c r="B11" s="9">
        <v>86432</v>
      </c>
      <c r="C11" s="9" t="s">
        <v>100</v>
      </c>
      <c r="D11" s="9" t="s">
        <v>14</v>
      </c>
      <c r="E11" s="10">
        <v>24</v>
      </c>
    </row>
    <row r="12" spans="1:5">
      <c r="A12" s="3" t="s">
        <v>20</v>
      </c>
      <c r="B12" s="4">
        <v>86433</v>
      </c>
      <c r="C12" s="4" t="s">
        <v>98</v>
      </c>
      <c r="D12" s="4" t="s">
        <v>19</v>
      </c>
      <c r="E12" s="5">
        <v>139</v>
      </c>
    </row>
    <row r="13" spans="1:5">
      <c r="A13" s="8" t="s">
        <v>20</v>
      </c>
      <c r="B13" s="9">
        <v>86433</v>
      </c>
      <c r="C13" s="9" t="s">
        <v>100</v>
      </c>
      <c r="D13" s="9" t="s">
        <v>14</v>
      </c>
      <c r="E13" s="10">
        <v>64</v>
      </c>
    </row>
    <row r="14" spans="1:5">
      <c r="A14" s="3" t="s">
        <v>22</v>
      </c>
      <c r="B14" s="4" t="s">
        <v>23</v>
      </c>
      <c r="C14" s="4" t="s">
        <v>98</v>
      </c>
      <c r="D14" s="4" t="s">
        <v>19</v>
      </c>
      <c r="E14" s="5">
        <v>108</v>
      </c>
    </row>
    <row r="15" spans="1:5">
      <c r="A15" s="6" t="s">
        <v>22</v>
      </c>
      <c r="B15" t="s">
        <v>23</v>
      </c>
      <c r="C15" t="s">
        <v>100</v>
      </c>
      <c r="D15" t="s">
        <v>14</v>
      </c>
      <c r="E15" s="7">
        <v>162</v>
      </c>
    </row>
    <row r="16" spans="1:5">
      <c r="A16" s="6" t="s">
        <v>22</v>
      </c>
      <c r="B16" t="s">
        <v>25</v>
      </c>
      <c r="C16" t="s">
        <v>98</v>
      </c>
      <c r="D16" t="s">
        <v>19</v>
      </c>
      <c r="E16" s="7">
        <v>257</v>
      </c>
    </row>
    <row r="17" spans="1:5">
      <c r="A17" s="8" t="s">
        <v>22</v>
      </c>
      <c r="B17" s="9" t="s">
        <v>25</v>
      </c>
      <c r="C17" s="9" t="s">
        <v>100</v>
      </c>
      <c r="D17" s="9" t="s">
        <v>14</v>
      </c>
      <c r="E17" s="10">
        <v>162</v>
      </c>
    </row>
    <row r="18" spans="1:5">
      <c r="A18" s="3" t="s">
        <v>27</v>
      </c>
      <c r="B18" s="4">
        <v>86419</v>
      </c>
      <c r="C18" s="4" t="s">
        <v>98</v>
      </c>
      <c r="D18" s="4" t="s">
        <v>19</v>
      </c>
      <c r="E18" s="5">
        <v>44</v>
      </c>
    </row>
    <row r="19" spans="1:5">
      <c r="A19" s="8" t="s">
        <v>27</v>
      </c>
      <c r="B19" s="9">
        <v>86419</v>
      </c>
      <c r="C19" s="9" t="s">
        <v>100</v>
      </c>
      <c r="D19" s="9" t="s">
        <v>14</v>
      </c>
      <c r="E19" s="10">
        <v>43</v>
      </c>
    </row>
    <row r="20" spans="1:5">
      <c r="A20" s="3" t="s">
        <v>29</v>
      </c>
      <c r="B20" s="4">
        <v>87522</v>
      </c>
      <c r="C20" s="4" t="s">
        <v>98</v>
      </c>
      <c r="D20" s="4" t="s">
        <v>19</v>
      </c>
      <c r="E20" s="5">
        <v>194</v>
      </c>
    </row>
    <row r="21" spans="1:5">
      <c r="A21" s="8" t="s">
        <v>29</v>
      </c>
      <c r="B21" s="9">
        <v>87522</v>
      </c>
      <c r="C21" s="9" t="s">
        <v>100</v>
      </c>
      <c r="D21" s="9" t="s">
        <v>14</v>
      </c>
      <c r="E21" s="10">
        <v>81</v>
      </c>
    </row>
    <row r="22" spans="1:5">
      <c r="A22" s="3" t="s">
        <v>31</v>
      </c>
      <c r="B22" s="4">
        <v>87225</v>
      </c>
      <c r="C22" s="4" t="s">
        <v>98</v>
      </c>
      <c r="D22" s="4" t="s">
        <v>10</v>
      </c>
      <c r="E22" s="5">
        <v>44</v>
      </c>
    </row>
    <row r="23" spans="1:5">
      <c r="A23" s="6" t="s">
        <v>31</v>
      </c>
      <c r="B23">
        <v>87225</v>
      </c>
      <c r="C23" t="s">
        <v>100</v>
      </c>
      <c r="D23" t="s">
        <v>19</v>
      </c>
      <c r="E23" s="7">
        <v>40</v>
      </c>
    </row>
    <row r="24" spans="1:5">
      <c r="A24" s="6" t="s">
        <v>31</v>
      </c>
      <c r="B24">
        <v>89406</v>
      </c>
      <c r="C24" t="s">
        <v>98</v>
      </c>
      <c r="D24" t="s">
        <v>10</v>
      </c>
      <c r="E24" s="7">
        <v>44</v>
      </c>
    </row>
    <row r="25" spans="1:5">
      <c r="A25" s="6" t="s">
        <v>31</v>
      </c>
      <c r="B25">
        <v>89406</v>
      </c>
      <c r="C25" t="s">
        <v>100</v>
      </c>
      <c r="D25" t="s">
        <v>14</v>
      </c>
      <c r="E25" s="7">
        <v>42</v>
      </c>
    </row>
    <row r="26" spans="1:5">
      <c r="A26" s="6" t="s">
        <v>31</v>
      </c>
      <c r="B26" t="s">
        <v>33</v>
      </c>
      <c r="C26" t="s">
        <v>98</v>
      </c>
      <c r="D26" t="s">
        <v>19</v>
      </c>
      <c r="E26" s="7">
        <v>40</v>
      </c>
    </row>
    <row r="27" spans="1:5">
      <c r="A27" s="8" t="s">
        <v>31</v>
      </c>
      <c r="B27" s="9" t="s">
        <v>33</v>
      </c>
      <c r="C27" s="9" t="s">
        <v>100</v>
      </c>
      <c r="D27" s="9" t="s">
        <v>14</v>
      </c>
      <c r="E27" s="10">
        <v>42</v>
      </c>
    </row>
    <row r="28" spans="1:5">
      <c r="A28" s="3" t="s">
        <v>34</v>
      </c>
      <c r="B28" s="4">
        <v>74196</v>
      </c>
      <c r="C28" s="4" t="s">
        <v>98</v>
      </c>
      <c r="D28" s="4" t="s">
        <v>19</v>
      </c>
      <c r="E28" s="5">
        <v>64</v>
      </c>
    </row>
    <row r="29" spans="1:5">
      <c r="A29" s="8" t="s">
        <v>34</v>
      </c>
      <c r="B29" s="9">
        <v>74196</v>
      </c>
      <c r="C29" s="9" t="s">
        <v>100</v>
      </c>
      <c r="D29" s="9" t="s">
        <v>14</v>
      </c>
      <c r="E29" s="10">
        <v>63</v>
      </c>
    </row>
    <row r="30" spans="1:5">
      <c r="A30" s="3" t="s">
        <v>36</v>
      </c>
      <c r="B30" s="4">
        <v>87212</v>
      </c>
      <c r="C30" s="4" t="s">
        <v>98</v>
      </c>
      <c r="D30" s="4" t="s">
        <v>10</v>
      </c>
      <c r="E30" s="5">
        <v>51</v>
      </c>
    </row>
    <row r="31" spans="1:5">
      <c r="A31" s="6" t="s">
        <v>36</v>
      </c>
      <c r="B31">
        <v>87212</v>
      </c>
      <c r="C31" t="s">
        <v>100</v>
      </c>
      <c r="D31" t="s">
        <v>19</v>
      </c>
      <c r="E31" s="7">
        <v>49</v>
      </c>
    </row>
    <row r="32" spans="1:5">
      <c r="A32" s="6" t="s">
        <v>36</v>
      </c>
      <c r="B32">
        <v>89407</v>
      </c>
      <c r="C32" t="s">
        <v>98</v>
      </c>
      <c r="D32" t="s">
        <v>10</v>
      </c>
      <c r="E32" s="7">
        <v>51</v>
      </c>
    </row>
    <row r="33" spans="1:5">
      <c r="A33" s="6" t="s">
        <v>36</v>
      </c>
      <c r="B33">
        <v>89407</v>
      </c>
      <c r="C33" t="s">
        <v>100</v>
      </c>
      <c r="D33" t="s">
        <v>14</v>
      </c>
      <c r="E33" s="7">
        <v>50</v>
      </c>
    </row>
    <row r="34" spans="1:5">
      <c r="A34" s="6" t="s">
        <v>36</v>
      </c>
      <c r="B34" t="s">
        <v>38</v>
      </c>
      <c r="C34" t="s">
        <v>98</v>
      </c>
      <c r="D34" t="s">
        <v>19</v>
      </c>
      <c r="E34" s="7">
        <v>49</v>
      </c>
    </row>
    <row r="35" spans="1:5">
      <c r="A35" s="8" t="s">
        <v>36</v>
      </c>
      <c r="B35" s="9" t="s">
        <v>38</v>
      </c>
      <c r="C35" s="9" t="s">
        <v>100</v>
      </c>
      <c r="D35" s="9" t="s">
        <v>14</v>
      </c>
      <c r="E35" s="10">
        <v>50</v>
      </c>
    </row>
    <row r="36" spans="1:5">
      <c r="A36" s="3" t="s">
        <v>39</v>
      </c>
      <c r="B36" s="4">
        <v>87214</v>
      </c>
      <c r="C36" s="4" t="s">
        <v>98</v>
      </c>
      <c r="D36" s="4" t="s">
        <v>12</v>
      </c>
      <c r="E36" s="5">
        <v>42</v>
      </c>
    </row>
    <row r="37" spans="1:5">
      <c r="A37" s="6" t="s">
        <v>39</v>
      </c>
      <c r="B37">
        <v>87214</v>
      </c>
      <c r="C37" t="s">
        <v>100</v>
      </c>
      <c r="D37" t="s">
        <v>14</v>
      </c>
      <c r="E37" s="7">
        <v>47</v>
      </c>
    </row>
    <row r="38" spans="1:5">
      <c r="A38" s="6" t="s">
        <v>39</v>
      </c>
      <c r="B38">
        <v>87215</v>
      </c>
      <c r="C38" t="s">
        <v>98</v>
      </c>
      <c r="D38" t="s">
        <v>10</v>
      </c>
      <c r="E38" s="7">
        <v>44</v>
      </c>
    </row>
    <row r="39" spans="1:5">
      <c r="A39" s="8" t="s">
        <v>39</v>
      </c>
      <c r="B39" s="9">
        <v>87215</v>
      </c>
      <c r="C39" s="9" t="s">
        <v>100</v>
      </c>
      <c r="D39" s="9" t="s">
        <v>14</v>
      </c>
      <c r="E39" s="10">
        <v>47</v>
      </c>
    </row>
    <row r="40" spans="1:5">
      <c r="A40" s="3" t="s">
        <v>41</v>
      </c>
      <c r="B40" s="4">
        <v>86426</v>
      </c>
      <c r="C40" s="4" t="s">
        <v>98</v>
      </c>
      <c r="D40" s="4" t="s">
        <v>42</v>
      </c>
      <c r="E40" s="5">
        <v>555</v>
      </c>
    </row>
    <row r="41" spans="1:5">
      <c r="A41" s="8" t="s">
        <v>41</v>
      </c>
      <c r="B41" s="9">
        <v>86426</v>
      </c>
      <c r="C41" s="9" t="s">
        <v>100</v>
      </c>
      <c r="D41" s="9" t="s">
        <v>14</v>
      </c>
      <c r="E41" s="10">
        <v>326</v>
      </c>
    </row>
    <row r="42" spans="1:5">
      <c r="A42" s="3" t="s">
        <v>43</v>
      </c>
      <c r="B42" s="4">
        <v>85370</v>
      </c>
      <c r="C42" s="4" t="s">
        <v>98</v>
      </c>
      <c r="D42" s="4" t="s">
        <v>19</v>
      </c>
      <c r="E42" s="5">
        <v>53</v>
      </c>
    </row>
    <row r="43" spans="1:5">
      <c r="A43" s="8" t="s">
        <v>43</v>
      </c>
      <c r="B43" s="9">
        <v>85370</v>
      </c>
      <c r="C43" s="9" t="s">
        <v>100</v>
      </c>
      <c r="D43" s="9" t="s">
        <v>14</v>
      </c>
      <c r="E43" s="10">
        <v>56</v>
      </c>
    </row>
    <row r="44" spans="1:5">
      <c r="A44" s="3" t="s">
        <v>46</v>
      </c>
      <c r="B44" s="4">
        <v>86422</v>
      </c>
      <c r="C44" s="4" t="s">
        <v>98</v>
      </c>
      <c r="D44" s="4" t="s">
        <v>19</v>
      </c>
      <c r="E44" s="5">
        <v>72</v>
      </c>
    </row>
    <row r="45" spans="1:5">
      <c r="A45" s="8" t="s">
        <v>46</v>
      </c>
      <c r="B45" s="9">
        <v>86422</v>
      </c>
      <c r="C45" s="9" t="s">
        <v>100</v>
      </c>
      <c r="D45" s="9" t="s">
        <v>14</v>
      </c>
      <c r="E45" s="10">
        <v>64</v>
      </c>
    </row>
    <row r="46" spans="1:5">
      <c r="A46" t="s">
        <v>48</v>
      </c>
      <c r="B46">
        <v>87456</v>
      </c>
      <c r="C46" t="s">
        <v>98</v>
      </c>
      <c r="D46" t="s">
        <v>19</v>
      </c>
      <c r="E46">
        <v>29</v>
      </c>
    </row>
    <row r="47" spans="1:5">
      <c r="A47" t="s">
        <v>48</v>
      </c>
      <c r="B47">
        <v>87456</v>
      </c>
      <c r="C47" t="s">
        <v>100</v>
      </c>
      <c r="D47" t="s">
        <v>14</v>
      </c>
      <c r="E47">
        <v>28</v>
      </c>
    </row>
    <row r="48" spans="1:5">
      <c r="A48" t="s">
        <v>48</v>
      </c>
      <c r="B48">
        <v>87457</v>
      </c>
      <c r="C48" t="s">
        <v>98</v>
      </c>
      <c r="D48" t="s">
        <v>19</v>
      </c>
      <c r="E48">
        <v>29</v>
      </c>
    </row>
    <row r="49" spans="1:5">
      <c r="A49" t="s">
        <v>48</v>
      </c>
      <c r="B49">
        <v>87457</v>
      </c>
      <c r="C49" t="s">
        <v>100</v>
      </c>
      <c r="D49" t="s">
        <v>12</v>
      </c>
      <c r="E49">
        <v>28</v>
      </c>
    </row>
    <row r="50" spans="1:5">
      <c r="A50" t="s">
        <v>50</v>
      </c>
      <c r="B50">
        <v>87242</v>
      </c>
      <c r="C50" t="s">
        <v>98</v>
      </c>
      <c r="D50" t="s">
        <v>52</v>
      </c>
      <c r="E50">
        <v>35</v>
      </c>
    </row>
    <row r="51" spans="1:5">
      <c r="A51" t="s">
        <v>50</v>
      </c>
      <c r="B51">
        <v>87242</v>
      </c>
      <c r="C51" t="s">
        <v>100</v>
      </c>
      <c r="D51" t="s">
        <v>10</v>
      </c>
      <c r="E51">
        <v>35</v>
      </c>
    </row>
    <row r="52" spans="1:5">
      <c r="A52" t="s">
        <v>50</v>
      </c>
      <c r="B52">
        <v>89444</v>
      </c>
      <c r="C52" t="s">
        <v>98</v>
      </c>
      <c r="D52" t="s">
        <v>52</v>
      </c>
      <c r="E52">
        <v>35</v>
      </c>
    </row>
    <row r="53" spans="1:5">
      <c r="A53" t="s">
        <v>50</v>
      </c>
      <c r="B53">
        <v>89444</v>
      </c>
      <c r="C53" t="s">
        <v>100</v>
      </c>
      <c r="D53" t="s">
        <v>14</v>
      </c>
      <c r="E53">
        <v>28</v>
      </c>
    </row>
    <row r="54" spans="1:5">
      <c r="A54" t="s">
        <v>50</v>
      </c>
      <c r="B54" t="s">
        <v>53</v>
      </c>
      <c r="C54" t="s">
        <v>98</v>
      </c>
      <c r="D54" t="s">
        <v>10</v>
      </c>
      <c r="E54">
        <v>35</v>
      </c>
    </row>
    <row r="55" spans="1:5">
      <c r="A55" t="s">
        <v>50</v>
      </c>
      <c r="B55" t="s">
        <v>53</v>
      </c>
      <c r="C55" t="s">
        <v>100</v>
      </c>
      <c r="D55" t="s">
        <v>14</v>
      </c>
      <c r="E55">
        <v>28</v>
      </c>
    </row>
    <row r="56" spans="1:5">
      <c r="A56" t="s">
        <v>54</v>
      </c>
      <c r="B56" t="s">
        <v>55</v>
      </c>
      <c r="C56" t="s">
        <v>98</v>
      </c>
      <c r="D56" t="s">
        <v>10</v>
      </c>
      <c r="E56">
        <v>18</v>
      </c>
    </row>
    <row r="57" spans="1:5">
      <c r="A57" t="s">
        <v>54</v>
      </c>
      <c r="B57" t="s">
        <v>55</v>
      </c>
      <c r="C57" t="s">
        <v>100</v>
      </c>
      <c r="D57" t="s">
        <v>14</v>
      </c>
      <c r="E57">
        <v>14</v>
      </c>
    </row>
    <row r="58" spans="1:5">
      <c r="A58" t="s">
        <v>54</v>
      </c>
      <c r="B58" t="s">
        <v>57</v>
      </c>
      <c r="C58" t="s">
        <v>98</v>
      </c>
      <c r="D58" t="s">
        <v>10</v>
      </c>
      <c r="E58">
        <v>19</v>
      </c>
    </row>
    <row r="59" spans="1:5">
      <c r="A59" t="s">
        <v>54</v>
      </c>
      <c r="B59" t="s">
        <v>57</v>
      </c>
      <c r="C59" t="s">
        <v>100</v>
      </c>
      <c r="D59" t="s">
        <v>14</v>
      </c>
      <c r="E59">
        <v>14</v>
      </c>
    </row>
    <row r="60" spans="1:5">
      <c r="A60" t="s">
        <v>58</v>
      </c>
      <c r="B60">
        <v>87196</v>
      </c>
      <c r="C60" t="s">
        <v>98</v>
      </c>
      <c r="D60" t="s">
        <v>52</v>
      </c>
      <c r="E60">
        <v>91</v>
      </c>
    </row>
    <row r="61" spans="1:5">
      <c r="A61" t="s">
        <v>58</v>
      </c>
      <c r="B61">
        <v>87196</v>
      </c>
      <c r="C61" t="s">
        <v>100</v>
      </c>
      <c r="D61" t="s">
        <v>14</v>
      </c>
      <c r="E61">
        <v>78</v>
      </c>
    </row>
    <row r="62" spans="1:5">
      <c r="A62" t="s">
        <v>58</v>
      </c>
      <c r="B62">
        <v>87222</v>
      </c>
      <c r="C62" t="s">
        <v>98</v>
      </c>
      <c r="D62" t="s">
        <v>10</v>
      </c>
      <c r="E62">
        <v>96</v>
      </c>
    </row>
    <row r="63" spans="1:5">
      <c r="A63" t="s">
        <v>58</v>
      </c>
      <c r="B63">
        <v>87222</v>
      </c>
      <c r="C63" t="s">
        <v>100</v>
      </c>
      <c r="D63" t="s">
        <v>14</v>
      </c>
      <c r="E63">
        <v>78</v>
      </c>
    </row>
    <row r="64" spans="1:5">
      <c r="A64" t="s">
        <v>61</v>
      </c>
      <c r="B64">
        <v>87219</v>
      </c>
      <c r="C64" t="s">
        <v>98</v>
      </c>
      <c r="D64" t="s">
        <v>12</v>
      </c>
      <c r="E64">
        <v>33</v>
      </c>
    </row>
    <row r="65" spans="1:5">
      <c r="A65" t="s">
        <v>61</v>
      </c>
      <c r="B65">
        <v>87219</v>
      </c>
      <c r="C65" t="s">
        <v>100</v>
      </c>
      <c r="D65" t="s">
        <v>14</v>
      </c>
      <c r="E65">
        <v>33</v>
      </c>
    </row>
    <row r="66" spans="1:5">
      <c r="A66" t="s">
        <v>61</v>
      </c>
      <c r="B66">
        <v>87220</v>
      </c>
      <c r="C66" t="s">
        <v>98</v>
      </c>
      <c r="D66" t="s">
        <v>12</v>
      </c>
      <c r="E66">
        <v>35</v>
      </c>
    </row>
    <row r="67" spans="1:5">
      <c r="A67" t="s">
        <v>61</v>
      </c>
      <c r="B67">
        <v>87220</v>
      </c>
      <c r="C67" t="s">
        <v>100</v>
      </c>
      <c r="D67" t="s">
        <v>14</v>
      </c>
      <c r="E67">
        <v>33</v>
      </c>
    </row>
    <row r="68" spans="1:5">
      <c r="A68" t="s">
        <v>63</v>
      </c>
      <c r="B68">
        <v>88220</v>
      </c>
      <c r="C68" t="s">
        <v>98</v>
      </c>
      <c r="D68" t="s">
        <v>19</v>
      </c>
      <c r="E68">
        <v>22</v>
      </c>
    </row>
    <row r="69" spans="1:5">
      <c r="A69" t="s">
        <v>63</v>
      </c>
      <c r="B69">
        <v>88220</v>
      </c>
      <c r="C69" t="s">
        <v>100</v>
      </c>
      <c r="D69" t="s">
        <v>14</v>
      </c>
      <c r="E69">
        <v>16</v>
      </c>
    </row>
    <row r="70" spans="1:5">
      <c r="A70" t="s">
        <v>65</v>
      </c>
      <c r="B70">
        <v>88224</v>
      </c>
      <c r="C70" t="s">
        <v>98</v>
      </c>
      <c r="D70" t="s">
        <v>19</v>
      </c>
      <c r="E70">
        <v>18</v>
      </c>
    </row>
    <row r="71" spans="1:5">
      <c r="A71" t="s">
        <v>65</v>
      </c>
      <c r="B71">
        <v>88224</v>
      </c>
      <c r="C71" t="s">
        <v>100</v>
      </c>
      <c r="D71" t="s">
        <v>14</v>
      </c>
      <c r="E71">
        <v>11</v>
      </c>
    </row>
    <row r="72" spans="1:5">
      <c r="A72" t="s">
        <v>67</v>
      </c>
      <c r="B72">
        <v>88222</v>
      </c>
      <c r="C72" t="s">
        <v>98</v>
      </c>
      <c r="D72" t="s">
        <v>19</v>
      </c>
      <c r="E72">
        <v>17</v>
      </c>
    </row>
    <row r="73" spans="1:5">
      <c r="A73" t="s">
        <v>67</v>
      </c>
      <c r="B73">
        <v>88222</v>
      </c>
      <c r="C73" t="s">
        <v>100</v>
      </c>
      <c r="D73" t="s">
        <v>14</v>
      </c>
      <c r="E73">
        <v>16</v>
      </c>
    </row>
    <row r="74" spans="1:5">
      <c r="A74" t="s">
        <v>69</v>
      </c>
      <c r="B74">
        <v>87461</v>
      </c>
      <c r="C74" t="s">
        <v>98</v>
      </c>
      <c r="D74" t="s">
        <v>19</v>
      </c>
      <c r="E74">
        <v>15</v>
      </c>
    </row>
    <row r="75" spans="1:5">
      <c r="A75" t="s">
        <v>69</v>
      </c>
      <c r="B75">
        <v>87461</v>
      </c>
      <c r="C75" t="s">
        <v>100</v>
      </c>
      <c r="D75" t="s">
        <v>14</v>
      </c>
      <c r="E75">
        <v>17</v>
      </c>
    </row>
    <row r="76" spans="1:5">
      <c r="A76" t="s">
        <v>71</v>
      </c>
      <c r="B76">
        <v>87210</v>
      </c>
      <c r="C76" t="s">
        <v>98</v>
      </c>
      <c r="D76" t="s">
        <v>10</v>
      </c>
      <c r="E76">
        <v>195</v>
      </c>
    </row>
    <row r="77" spans="1:5">
      <c r="A77" t="s">
        <v>71</v>
      </c>
      <c r="B77">
        <v>87210</v>
      </c>
      <c r="C77" t="s">
        <v>100</v>
      </c>
      <c r="D77" t="s">
        <v>19</v>
      </c>
      <c r="E77">
        <v>190</v>
      </c>
    </row>
    <row r="78" spans="1:5">
      <c r="A78" t="s">
        <v>71</v>
      </c>
      <c r="B78">
        <v>89408</v>
      </c>
      <c r="C78" t="s">
        <v>98</v>
      </c>
      <c r="D78" t="s">
        <v>10</v>
      </c>
      <c r="E78">
        <v>195</v>
      </c>
    </row>
    <row r="79" spans="1:5">
      <c r="A79" t="s">
        <v>71</v>
      </c>
      <c r="B79">
        <v>89408</v>
      </c>
      <c r="C79" t="s">
        <v>100</v>
      </c>
      <c r="D79" t="s">
        <v>14</v>
      </c>
      <c r="E79">
        <v>206</v>
      </c>
    </row>
    <row r="80" spans="1:5">
      <c r="A80" t="s">
        <v>71</v>
      </c>
      <c r="B80" t="s">
        <v>73</v>
      </c>
      <c r="C80" t="s">
        <v>98</v>
      </c>
      <c r="D80" t="s">
        <v>19</v>
      </c>
      <c r="E80">
        <v>190</v>
      </c>
    </row>
    <row r="81" spans="1:5">
      <c r="A81" t="s">
        <v>71</v>
      </c>
      <c r="B81" t="s">
        <v>73</v>
      </c>
      <c r="C81" t="s">
        <v>100</v>
      </c>
      <c r="D81" t="s">
        <v>14</v>
      </c>
      <c r="E81">
        <v>206</v>
      </c>
    </row>
    <row r="82" spans="1:5">
      <c r="A82" t="s">
        <v>74</v>
      </c>
      <c r="B82">
        <v>87462</v>
      </c>
      <c r="C82" t="s">
        <v>98</v>
      </c>
      <c r="D82" t="s">
        <v>52</v>
      </c>
      <c r="E82">
        <v>96</v>
      </c>
    </row>
    <row r="83" spans="1:5">
      <c r="A83" t="s">
        <v>74</v>
      </c>
      <c r="B83">
        <v>87462</v>
      </c>
      <c r="C83" t="s">
        <v>100</v>
      </c>
      <c r="D83" t="s">
        <v>10</v>
      </c>
      <c r="E83">
        <v>99</v>
      </c>
    </row>
    <row r="84" spans="1:5">
      <c r="A84" t="s">
        <v>74</v>
      </c>
      <c r="B84">
        <v>87464</v>
      </c>
      <c r="C84" t="s">
        <v>98</v>
      </c>
      <c r="D84" t="s">
        <v>75</v>
      </c>
      <c r="E84">
        <v>92</v>
      </c>
    </row>
    <row r="85" spans="1:5">
      <c r="A85" t="s">
        <v>74</v>
      </c>
      <c r="B85">
        <v>87464</v>
      </c>
      <c r="C85" t="s">
        <v>100</v>
      </c>
      <c r="D85" t="s">
        <v>14</v>
      </c>
      <c r="E85">
        <v>104</v>
      </c>
    </row>
    <row r="86" spans="1:5">
      <c r="A86" t="s">
        <v>74</v>
      </c>
      <c r="B86" t="s">
        <v>76</v>
      </c>
      <c r="C86" t="s">
        <v>98</v>
      </c>
      <c r="D86" t="s">
        <v>52</v>
      </c>
      <c r="E86">
        <v>99</v>
      </c>
    </row>
    <row r="87" spans="1:5">
      <c r="A87" t="s">
        <v>74</v>
      </c>
      <c r="B87" t="s">
        <v>76</v>
      </c>
      <c r="C87" t="s">
        <v>100</v>
      </c>
      <c r="D87" t="s">
        <v>14</v>
      </c>
      <c r="E87">
        <v>104</v>
      </c>
    </row>
    <row r="88" spans="1:5">
      <c r="A88" t="s">
        <v>74</v>
      </c>
      <c r="B88" t="s">
        <v>77</v>
      </c>
      <c r="C88" t="s">
        <v>98</v>
      </c>
      <c r="D88" t="s">
        <v>10</v>
      </c>
      <c r="E88">
        <v>96</v>
      </c>
    </row>
    <row r="89" spans="1:5">
      <c r="A89" t="s">
        <v>74</v>
      </c>
      <c r="B89" t="s">
        <v>77</v>
      </c>
      <c r="C89" t="s">
        <v>100</v>
      </c>
      <c r="D89" t="s">
        <v>14</v>
      </c>
      <c r="E89">
        <v>104</v>
      </c>
    </row>
    <row r="90" spans="1:5">
      <c r="A90" t="s">
        <v>78</v>
      </c>
      <c r="B90" t="s">
        <v>79</v>
      </c>
      <c r="C90" t="s">
        <v>98</v>
      </c>
      <c r="D90" t="s">
        <v>19</v>
      </c>
      <c r="E90">
        <v>239</v>
      </c>
    </row>
    <row r="91" spans="1:5">
      <c r="A91" t="s">
        <v>78</v>
      </c>
      <c r="B91" t="s">
        <v>79</v>
      </c>
      <c r="C91" t="s">
        <v>100</v>
      </c>
      <c r="D91" t="s">
        <v>14</v>
      </c>
      <c r="E91">
        <v>348</v>
      </c>
    </row>
    <row r="92" spans="1:5">
      <c r="A92" t="s">
        <v>78</v>
      </c>
      <c r="B92" t="s">
        <v>81</v>
      </c>
      <c r="C92" t="s">
        <v>98</v>
      </c>
      <c r="D92" t="s">
        <v>19</v>
      </c>
      <c r="E92">
        <v>551</v>
      </c>
    </row>
    <row r="93" spans="1:5">
      <c r="A93" t="s">
        <v>78</v>
      </c>
      <c r="B93" t="s">
        <v>81</v>
      </c>
      <c r="C93" t="s">
        <v>100</v>
      </c>
      <c r="D93" t="s">
        <v>14</v>
      </c>
      <c r="E93">
        <v>348</v>
      </c>
    </row>
    <row r="94" spans="1:5">
      <c r="A94" t="s">
        <v>82</v>
      </c>
      <c r="B94">
        <v>90475</v>
      </c>
      <c r="C94" t="s">
        <v>98</v>
      </c>
      <c r="D94" t="s">
        <v>83</v>
      </c>
      <c r="E94">
        <v>49</v>
      </c>
    </row>
    <row r="95" spans="1:5">
      <c r="A95" t="s">
        <v>82</v>
      </c>
      <c r="B95">
        <v>90475</v>
      </c>
      <c r="C95" t="s">
        <v>100</v>
      </c>
      <c r="D95" t="s">
        <v>14</v>
      </c>
      <c r="E95">
        <v>47</v>
      </c>
    </row>
    <row r="96" spans="1:5">
      <c r="A96" t="s">
        <v>84</v>
      </c>
      <c r="B96" t="s">
        <v>85</v>
      </c>
      <c r="C96" t="s">
        <v>98</v>
      </c>
      <c r="D96" t="s">
        <v>10</v>
      </c>
      <c r="E96">
        <v>91</v>
      </c>
    </row>
    <row r="97" spans="1:5">
      <c r="A97" t="s">
        <v>84</v>
      </c>
      <c r="B97" t="s">
        <v>85</v>
      </c>
      <c r="C97" t="s">
        <v>100</v>
      </c>
      <c r="D97" t="s">
        <v>14</v>
      </c>
      <c r="E97">
        <v>114</v>
      </c>
    </row>
    <row r="98" spans="1:5">
      <c r="A98" t="s">
        <v>84</v>
      </c>
      <c r="B98" t="s">
        <v>87</v>
      </c>
      <c r="C98" t="s">
        <v>98</v>
      </c>
      <c r="D98" t="s">
        <v>10</v>
      </c>
      <c r="E98">
        <v>79</v>
      </c>
    </row>
    <row r="99" spans="1:5">
      <c r="A99" t="s">
        <v>84</v>
      </c>
      <c r="B99" t="s">
        <v>87</v>
      </c>
      <c r="C99" t="s">
        <v>100</v>
      </c>
      <c r="D99" t="s">
        <v>14</v>
      </c>
      <c r="E99">
        <v>114</v>
      </c>
    </row>
    <row r="100" spans="1:5">
      <c r="A100" t="s">
        <v>88</v>
      </c>
      <c r="B100">
        <v>90510</v>
      </c>
      <c r="C100" t="s">
        <v>98</v>
      </c>
      <c r="D100" t="s">
        <v>10</v>
      </c>
      <c r="E100">
        <v>48</v>
      </c>
    </row>
    <row r="101" spans="1:5">
      <c r="A101" t="s">
        <v>88</v>
      </c>
      <c r="B101">
        <v>90510</v>
      </c>
      <c r="C101" t="s">
        <v>100</v>
      </c>
      <c r="D101" t="s">
        <v>14</v>
      </c>
      <c r="E101">
        <v>20</v>
      </c>
    </row>
    <row r="102" spans="1:5">
      <c r="A102" t="s">
        <v>90</v>
      </c>
      <c r="B102">
        <v>90584</v>
      </c>
      <c r="C102" t="s">
        <v>98</v>
      </c>
      <c r="D102" t="s">
        <v>10</v>
      </c>
      <c r="E102">
        <v>60</v>
      </c>
    </row>
    <row r="103" spans="1:5">
      <c r="A103" t="s">
        <v>90</v>
      </c>
      <c r="B103">
        <v>90584</v>
      </c>
      <c r="C103" t="s">
        <v>100</v>
      </c>
      <c r="D103" t="s">
        <v>14</v>
      </c>
      <c r="E103">
        <v>57</v>
      </c>
    </row>
    <row r="104" spans="1:5">
      <c r="A104" t="s">
        <v>92</v>
      </c>
      <c r="B104" t="s">
        <v>93</v>
      </c>
      <c r="C104" t="s">
        <v>98</v>
      </c>
      <c r="D104" t="s">
        <v>19</v>
      </c>
      <c r="E104">
        <v>85</v>
      </c>
    </row>
    <row r="105" spans="1:5">
      <c r="A105" t="s">
        <v>92</v>
      </c>
      <c r="B105" t="s">
        <v>93</v>
      </c>
      <c r="C105" t="s">
        <v>100</v>
      </c>
      <c r="D105" t="s">
        <v>14</v>
      </c>
      <c r="E105">
        <v>130</v>
      </c>
    </row>
    <row r="106" spans="1:5">
      <c r="A106" t="s">
        <v>92</v>
      </c>
      <c r="B106" t="s">
        <v>94</v>
      </c>
      <c r="C106" t="s">
        <v>98</v>
      </c>
      <c r="D106" t="s">
        <v>19</v>
      </c>
      <c r="E106">
        <v>214</v>
      </c>
    </row>
    <row r="107" spans="1:5">
      <c r="A107" t="s">
        <v>92</v>
      </c>
      <c r="B107" t="s">
        <v>94</v>
      </c>
      <c r="C107" t="s">
        <v>100</v>
      </c>
      <c r="D107" t="s">
        <v>14</v>
      </c>
      <c r="E107">
        <v>130</v>
      </c>
    </row>
    <row r="108" spans="1:5">
      <c r="A108" t="s">
        <v>95</v>
      </c>
      <c r="B108">
        <v>90587</v>
      </c>
      <c r="C108" t="s">
        <v>98</v>
      </c>
      <c r="D108" t="s">
        <v>83</v>
      </c>
      <c r="E108">
        <v>64</v>
      </c>
    </row>
    <row r="109" spans="1:5">
      <c r="A109" t="s">
        <v>95</v>
      </c>
      <c r="B109">
        <v>90587</v>
      </c>
      <c r="C109" t="s">
        <v>100</v>
      </c>
      <c r="D109" t="s">
        <v>14</v>
      </c>
      <c r="E109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94AB-5EA7-4E54-8715-BE6EB575EFE6}">
  <dimension ref="A3:J64"/>
  <sheetViews>
    <sheetView topLeftCell="A21" workbookViewId="0">
      <selection activeCell="F54" sqref="A51:F54"/>
    </sheetView>
  </sheetViews>
  <sheetFormatPr defaultRowHeight="14.25"/>
  <cols>
    <col min="1" max="1" width="9.375" bestFit="1" customWidth="1"/>
    <col min="2" max="2" width="10.75" bestFit="1" customWidth="1"/>
    <col min="3" max="3" width="19.75" bestFit="1" customWidth="1"/>
    <col min="4" max="4" width="45.75" bestFit="1" customWidth="1"/>
    <col min="5" max="6" width="30.125" bestFit="1" customWidth="1"/>
    <col min="7" max="7" width="17.875" bestFit="1" customWidth="1"/>
    <col min="8" max="8" width="15.625" bestFit="1" customWidth="1"/>
    <col min="9" max="9" width="20.5" bestFit="1" customWidth="1"/>
    <col min="10" max="10" width="19.125" bestFit="1" customWidth="1"/>
  </cols>
  <sheetData>
    <row r="3" spans="1:8" ht="15">
      <c r="A3" s="2" t="s">
        <v>171</v>
      </c>
      <c r="B3" s="2" t="s">
        <v>1</v>
      </c>
      <c r="C3" s="2" t="s">
        <v>108</v>
      </c>
      <c r="D3" s="2" t="s">
        <v>3</v>
      </c>
      <c r="E3" s="2" t="s">
        <v>98</v>
      </c>
      <c r="F3" s="2" t="s">
        <v>99</v>
      </c>
      <c r="G3" s="2" t="s">
        <v>100</v>
      </c>
      <c r="H3" s="2" t="s">
        <v>101</v>
      </c>
    </row>
    <row r="4" spans="1:8">
      <c r="A4" s="20" t="s">
        <v>6</v>
      </c>
      <c r="B4" s="21">
        <v>74210</v>
      </c>
      <c r="C4" s="21" t="s">
        <v>103</v>
      </c>
      <c r="D4" s="21" t="s">
        <v>8</v>
      </c>
      <c r="E4" s="21" t="s">
        <v>10</v>
      </c>
      <c r="F4" s="21">
        <v>31</v>
      </c>
      <c r="G4" s="21" t="s">
        <v>12</v>
      </c>
      <c r="H4" s="22">
        <v>32</v>
      </c>
    </row>
    <row r="5" spans="1:8">
      <c r="A5" s="11" t="s">
        <v>6</v>
      </c>
      <c r="B5" s="12">
        <v>87216</v>
      </c>
      <c r="C5" s="12" t="s">
        <v>103</v>
      </c>
      <c r="D5" s="12" t="s">
        <v>13</v>
      </c>
      <c r="E5" s="12" t="s">
        <v>12</v>
      </c>
      <c r="F5" s="12">
        <v>32</v>
      </c>
      <c r="G5" s="12" t="s">
        <v>14</v>
      </c>
      <c r="H5" s="13">
        <v>35</v>
      </c>
    </row>
    <row r="6" spans="1:8">
      <c r="A6" s="11" t="s">
        <v>6</v>
      </c>
      <c r="B6" s="12">
        <v>87216</v>
      </c>
      <c r="C6" s="12" t="s">
        <v>103</v>
      </c>
      <c r="D6" s="12" t="s">
        <v>8</v>
      </c>
      <c r="E6" s="12" t="s">
        <v>12</v>
      </c>
      <c r="F6" s="12">
        <v>32</v>
      </c>
      <c r="G6" s="12" t="s">
        <v>14</v>
      </c>
      <c r="H6" s="13">
        <v>35</v>
      </c>
    </row>
    <row r="7" spans="1:8">
      <c r="A7" s="11" t="s">
        <v>6</v>
      </c>
      <c r="B7" s="12">
        <v>87216</v>
      </c>
      <c r="C7" s="12" t="s">
        <v>103</v>
      </c>
      <c r="D7" s="12" t="s">
        <v>104</v>
      </c>
      <c r="E7" s="12" t="s">
        <v>12</v>
      </c>
      <c r="F7" s="12">
        <v>32</v>
      </c>
      <c r="G7" s="12" t="s">
        <v>14</v>
      </c>
      <c r="H7" s="13">
        <v>35</v>
      </c>
    </row>
    <row r="8" spans="1:8">
      <c r="A8" s="11" t="s">
        <v>6</v>
      </c>
      <c r="B8" s="12">
        <v>87216</v>
      </c>
      <c r="C8" s="12" t="s">
        <v>103</v>
      </c>
      <c r="D8" s="12" t="s">
        <v>105</v>
      </c>
      <c r="E8" s="12" t="s">
        <v>12</v>
      </c>
      <c r="F8" s="12">
        <v>32</v>
      </c>
      <c r="G8" s="12" t="s">
        <v>14</v>
      </c>
      <c r="H8" s="13">
        <v>35</v>
      </c>
    </row>
    <row r="9" spans="1:8">
      <c r="A9" s="11" t="s">
        <v>6</v>
      </c>
      <c r="B9" s="12">
        <v>87216</v>
      </c>
      <c r="C9" s="12" t="s">
        <v>103</v>
      </c>
      <c r="D9" s="12" t="s">
        <v>106</v>
      </c>
      <c r="E9" s="12" t="s">
        <v>12</v>
      </c>
      <c r="F9" s="12">
        <v>32</v>
      </c>
      <c r="G9" s="12" t="s">
        <v>14</v>
      </c>
      <c r="H9" s="13">
        <v>35</v>
      </c>
    </row>
    <row r="10" spans="1:8">
      <c r="A10" s="14" t="s">
        <v>6</v>
      </c>
      <c r="B10" s="15">
        <v>87217</v>
      </c>
      <c r="C10" s="15" t="s">
        <v>103</v>
      </c>
      <c r="D10" s="15" t="s">
        <v>8</v>
      </c>
      <c r="E10" s="15" t="s">
        <v>10</v>
      </c>
      <c r="F10" s="15">
        <v>31</v>
      </c>
      <c r="G10" s="15" t="s">
        <v>14</v>
      </c>
      <c r="H10" s="16">
        <v>35</v>
      </c>
    </row>
    <row r="11" spans="1:8">
      <c r="A11" s="14" t="s">
        <v>6</v>
      </c>
      <c r="B11" s="15">
        <v>87217</v>
      </c>
      <c r="C11" s="15" t="s">
        <v>103</v>
      </c>
      <c r="D11" s="15" t="s">
        <v>104</v>
      </c>
      <c r="E11" s="15" t="s">
        <v>10</v>
      </c>
      <c r="F11" s="15">
        <v>31</v>
      </c>
      <c r="G11" s="15" t="s">
        <v>14</v>
      </c>
      <c r="H11" s="16">
        <v>35</v>
      </c>
    </row>
    <row r="12" spans="1:8">
      <c r="A12" s="14" t="s">
        <v>6</v>
      </c>
      <c r="B12" s="15">
        <v>87217</v>
      </c>
      <c r="C12" s="15" t="s">
        <v>103</v>
      </c>
      <c r="D12" s="15" t="s">
        <v>107</v>
      </c>
      <c r="E12" s="15" t="s">
        <v>10</v>
      </c>
      <c r="F12" s="15">
        <v>31</v>
      </c>
      <c r="G12" s="15" t="s">
        <v>14</v>
      </c>
      <c r="H12" s="16">
        <v>35</v>
      </c>
    </row>
    <row r="13" spans="1:8">
      <c r="A13" s="14" t="s">
        <v>6</v>
      </c>
      <c r="B13" s="15">
        <v>87217</v>
      </c>
      <c r="C13" s="15" t="s">
        <v>103</v>
      </c>
      <c r="D13" s="15" t="s">
        <v>106</v>
      </c>
      <c r="E13" s="15" t="s">
        <v>10</v>
      </c>
      <c r="F13" s="15">
        <v>31</v>
      </c>
      <c r="G13" s="15" t="s">
        <v>14</v>
      </c>
      <c r="H13" s="16">
        <v>35</v>
      </c>
    </row>
    <row r="14" spans="1:8">
      <c r="A14" s="17" t="s">
        <v>6</v>
      </c>
      <c r="B14" s="18">
        <v>87217</v>
      </c>
      <c r="C14" s="18" t="s">
        <v>103</v>
      </c>
      <c r="D14" s="18" t="s">
        <v>13</v>
      </c>
      <c r="E14" s="18" t="s">
        <v>10</v>
      </c>
      <c r="F14" s="18">
        <v>31</v>
      </c>
      <c r="G14" s="18" t="s">
        <v>14</v>
      </c>
      <c r="H14" s="19">
        <v>35</v>
      </c>
    </row>
    <row r="17" spans="1:9" ht="15">
      <c r="A17" s="2" t="s">
        <v>171</v>
      </c>
      <c r="B17" s="2" t="s">
        <v>1</v>
      </c>
      <c r="C17" s="2" t="s">
        <v>108</v>
      </c>
      <c r="D17" s="2" t="s">
        <v>3</v>
      </c>
      <c r="E17" s="2" t="s">
        <v>98</v>
      </c>
      <c r="F17" s="2" t="s">
        <v>99</v>
      </c>
      <c r="G17" s="2" t="s">
        <v>100</v>
      </c>
      <c r="H17" s="2" t="s">
        <v>101</v>
      </c>
    </row>
    <row r="18" spans="1:9">
      <c r="A18" s="20" t="s">
        <v>6</v>
      </c>
      <c r="B18" s="21">
        <v>74210</v>
      </c>
      <c r="C18" s="21" t="s">
        <v>103</v>
      </c>
      <c r="D18" s="21" t="s">
        <v>8</v>
      </c>
      <c r="E18" s="21" t="s">
        <v>10</v>
      </c>
      <c r="F18" s="21">
        <v>31</v>
      </c>
      <c r="G18" s="21" t="s">
        <v>12</v>
      </c>
      <c r="H18" s="22">
        <v>32</v>
      </c>
      <c r="I18" t="s">
        <v>109</v>
      </c>
    </row>
    <row r="19" spans="1:9">
      <c r="A19" s="11" t="s">
        <v>6</v>
      </c>
      <c r="B19" s="12">
        <v>87216</v>
      </c>
      <c r="C19" s="12" t="s">
        <v>103</v>
      </c>
      <c r="D19" s="12" t="s">
        <v>13</v>
      </c>
      <c r="E19" s="12" t="s">
        <v>12</v>
      </c>
      <c r="F19" s="12">
        <v>32</v>
      </c>
      <c r="G19" s="12" t="s">
        <v>14</v>
      </c>
      <c r="H19" s="13">
        <v>35</v>
      </c>
      <c r="I19" t="s">
        <v>109</v>
      </c>
    </row>
    <row r="20" spans="1:9">
      <c r="A20" s="23" t="s">
        <v>6</v>
      </c>
      <c r="B20" s="24">
        <v>87216</v>
      </c>
      <c r="C20" s="24" t="s">
        <v>103</v>
      </c>
      <c r="D20" s="24" t="s">
        <v>8</v>
      </c>
      <c r="E20" s="24" t="s">
        <v>12</v>
      </c>
      <c r="F20" s="24">
        <v>32</v>
      </c>
      <c r="G20" s="24" t="s">
        <v>14</v>
      </c>
      <c r="H20" s="25">
        <v>35</v>
      </c>
    </row>
    <row r="21" spans="1:9">
      <c r="A21" s="23" t="s">
        <v>6</v>
      </c>
      <c r="B21" s="24">
        <v>87216</v>
      </c>
      <c r="C21" s="24" t="s">
        <v>103</v>
      </c>
      <c r="D21" s="24" t="s">
        <v>104</v>
      </c>
      <c r="E21" s="24" t="s">
        <v>12</v>
      </c>
      <c r="F21" s="24">
        <v>32</v>
      </c>
      <c r="G21" s="24" t="s">
        <v>14</v>
      </c>
      <c r="H21" s="25">
        <v>35</v>
      </c>
    </row>
    <row r="22" spans="1:9">
      <c r="A22" s="23" t="s">
        <v>6</v>
      </c>
      <c r="B22" s="24">
        <v>87216</v>
      </c>
      <c r="C22" s="24" t="s">
        <v>103</v>
      </c>
      <c r="D22" s="24" t="s">
        <v>105</v>
      </c>
      <c r="E22" s="24" t="s">
        <v>12</v>
      </c>
      <c r="F22" s="24">
        <v>32</v>
      </c>
      <c r="G22" s="24" t="s">
        <v>14</v>
      </c>
      <c r="H22" s="25">
        <v>35</v>
      </c>
    </row>
    <row r="23" spans="1:9">
      <c r="A23" s="23" t="s">
        <v>6</v>
      </c>
      <c r="B23" s="24">
        <v>87216</v>
      </c>
      <c r="C23" s="24" t="s">
        <v>103</v>
      </c>
      <c r="D23" s="24" t="s">
        <v>106</v>
      </c>
      <c r="E23" s="24" t="s">
        <v>12</v>
      </c>
      <c r="F23" s="24">
        <v>32</v>
      </c>
      <c r="G23" s="24" t="s">
        <v>14</v>
      </c>
      <c r="H23" s="25">
        <v>35</v>
      </c>
    </row>
    <row r="24" spans="1:9">
      <c r="A24" s="14" t="s">
        <v>6</v>
      </c>
      <c r="B24" s="15">
        <v>87217</v>
      </c>
      <c r="C24" s="15" t="s">
        <v>103</v>
      </c>
      <c r="D24" s="15" t="s">
        <v>8</v>
      </c>
      <c r="E24" s="15" t="s">
        <v>10</v>
      </c>
      <c r="F24" s="15">
        <v>31</v>
      </c>
      <c r="G24" s="15" t="s">
        <v>14</v>
      </c>
      <c r="H24" s="16">
        <v>35</v>
      </c>
      <c r="I24" t="s">
        <v>109</v>
      </c>
    </row>
    <row r="25" spans="1:9">
      <c r="A25" s="26" t="s">
        <v>6</v>
      </c>
      <c r="B25" s="27">
        <v>87217</v>
      </c>
      <c r="C25" s="27" t="s">
        <v>103</v>
      </c>
      <c r="D25" s="27" t="s">
        <v>104</v>
      </c>
      <c r="E25" s="27" t="s">
        <v>10</v>
      </c>
      <c r="F25" s="27">
        <v>31</v>
      </c>
      <c r="G25" s="27" t="s">
        <v>14</v>
      </c>
      <c r="H25" s="28">
        <v>35</v>
      </c>
    </row>
    <row r="26" spans="1:9">
      <c r="A26" s="26" t="s">
        <v>6</v>
      </c>
      <c r="B26" s="27">
        <v>87217</v>
      </c>
      <c r="C26" s="27" t="s">
        <v>103</v>
      </c>
      <c r="D26" s="27" t="s">
        <v>107</v>
      </c>
      <c r="E26" s="27" t="s">
        <v>10</v>
      </c>
      <c r="F26" s="27">
        <v>31</v>
      </c>
      <c r="G26" s="27" t="s">
        <v>14</v>
      </c>
      <c r="H26" s="28">
        <v>35</v>
      </c>
    </row>
    <row r="27" spans="1:9">
      <c r="A27" s="26" t="s">
        <v>6</v>
      </c>
      <c r="B27" s="27">
        <v>87217</v>
      </c>
      <c r="C27" s="27" t="s">
        <v>103</v>
      </c>
      <c r="D27" s="27" t="s">
        <v>106</v>
      </c>
      <c r="E27" s="27" t="s">
        <v>10</v>
      </c>
      <c r="F27" s="27">
        <v>31</v>
      </c>
      <c r="G27" s="27" t="s">
        <v>14</v>
      </c>
      <c r="H27" s="28">
        <v>35</v>
      </c>
    </row>
    <row r="28" spans="1:9">
      <c r="A28" s="29" t="s">
        <v>6</v>
      </c>
      <c r="B28" s="30">
        <v>87217</v>
      </c>
      <c r="C28" s="30" t="s">
        <v>103</v>
      </c>
      <c r="D28" s="30" t="s">
        <v>13</v>
      </c>
      <c r="E28" s="30" t="s">
        <v>10</v>
      </c>
      <c r="F28" s="30">
        <v>31</v>
      </c>
      <c r="G28" s="30" t="s">
        <v>14</v>
      </c>
      <c r="H28" s="31">
        <v>35</v>
      </c>
    </row>
    <row r="30" spans="1:9" ht="15">
      <c r="A30" s="2" t="s">
        <v>0</v>
      </c>
      <c r="B30" s="2" t="s">
        <v>1</v>
      </c>
      <c r="C30" s="2" t="s">
        <v>108</v>
      </c>
      <c r="D30" s="2" t="s">
        <v>3</v>
      </c>
      <c r="E30" s="2" t="s">
        <v>98</v>
      </c>
      <c r="F30" s="2" t="s">
        <v>99</v>
      </c>
      <c r="G30" s="2" t="s">
        <v>100</v>
      </c>
      <c r="H30" s="2" t="s">
        <v>101</v>
      </c>
    </row>
    <row r="31" spans="1:9">
      <c r="A31" s="20" t="s">
        <v>6</v>
      </c>
      <c r="B31" s="21">
        <v>74210</v>
      </c>
      <c r="C31" s="21" t="s">
        <v>103</v>
      </c>
      <c r="D31" s="21" t="s">
        <v>113</v>
      </c>
      <c r="E31" s="36" t="s">
        <v>10</v>
      </c>
      <c r="F31" s="42">
        <v>31</v>
      </c>
      <c r="G31" s="33" t="s">
        <v>12</v>
      </c>
      <c r="H31" s="44">
        <v>32</v>
      </c>
    </row>
    <row r="32" spans="1:9">
      <c r="A32" s="11" t="s">
        <v>6</v>
      </c>
      <c r="B32" s="12">
        <v>87216</v>
      </c>
      <c r="C32" s="12" t="s">
        <v>103</v>
      </c>
      <c r="D32" s="12" t="s">
        <v>113</v>
      </c>
      <c r="E32" s="32" t="s">
        <v>12</v>
      </c>
      <c r="F32" s="32">
        <v>32</v>
      </c>
      <c r="G32" s="34" t="s">
        <v>14</v>
      </c>
      <c r="H32" s="45">
        <v>35</v>
      </c>
    </row>
    <row r="33" spans="1:10">
      <c r="A33" s="17" t="s">
        <v>6</v>
      </c>
      <c r="B33" s="18">
        <v>87217</v>
      </c>
      <c r="C33" s="18" t="s">
        <v>103</v>
      </c>
      <c r="D33" s="18" t="s">
        <v>113</v>
      </c>
      <c r="E33" s="37" t="s">
        <v>10</v>
      </c>
      <c r="F33" s="43">
        <v>31</v>
      </c>
      <c r="G33" s="35" t="s">
        <v>14</v>
      </c>
      <c r="H33" s="46">
        <v>35</v>
      </c>
    </row>
    <row r="36" spans="1:10" ht="15">
      <c r="A36" s="2" t="s">
        <v>0</v>
      </c>
      <c r="B36" s="2" t="s">
        <v>1</v>
      </c>
      <c r="C36" s="2" t="s">
        <v>108</v>
      </c>
      <c r="D36" s="2" t="s">
        <v>3</v>
      </c>
      <c r="E36" s="2" t="s">
        <v>98</v>
      </c>
      <c r="F36" s="2" t="s">
        <v>99</v>
      </c>
      <c r="G36" s="2" t="s">
        <v>100</v>
      </c>
      <c r="H36" s="2" t="s">
        <v>101</v>
      </c>
    </row>
    <row r="37" spans="1:10">
      <c r="A37" s="20" t="s">
        <v>6</v>
      </c>
      <c r="B37" s="21">
        <v>74210</v>
      </c>
      <c r="C37" s="21" t="s">
        <v>103</v>
      </c>
      <c r="D37" s="21" t="s">
        <v>113</v>
      </c>
      <c r="E37" s="36" t="s">
        <v>10</v>
      </c>
      <c r="F37" s="36">
        <v>31</v>
      </c>
      <c r="G37" s="33" t="s">
        <v>12</v>
      </c>
      <c r="H37" s="44">
        <v>32</v>
      </c>
    </row>
    <row r="38" spans="1:10">
      <c r="A38" s="11" t="s">
        <v>6</v>
      </c>
      <c r="B38" s="12">
        <v>87216</v>
      </c>
      <c r="C38" s="12" t="s">
        <v>103</v>
      </c>
      <c r="D38" s="12" t="s">
        <v>113</v>
      </c>
      <c r="E38" s="39" t="s">
        <v>12</v>
      </c>
      <c r="F38" s="39">
        <v>32</v>
      </c>
      <c r="G38" s="34" t="s">
        <v>14</v>
      </c>
      <c r="H38" s="45">
        <v>35</v>
      </c>
    </row>
    <row r="39" spans="1:10">
      <c r="A39" s="17" t="s">
        <v>6</v>
      </c>
      <c r="B39" s="18">
        <v>87217</v>
      </c>
      <c r="C39" s="18" t="s">
        <v>103</v>
      </c>
      <c r="D39" s="18" t="s">
        <v>113</v>
      </c>
      <c r="E39" s="40" t="s">
        <v>10</v>
      </c>
      <c r="F39" s="40">
        <v>31</v>
      </c>
      <c r="G39" s="41" t="s">
        <v>14</v>
      </c>
      <c r="H39" s="47">
        <v>35</v>
      </c>
    </row>
    <row r="43" spans="1:10" ht="15">
      <c r="A43" s="2" t="s">
        <v>0</v>
      </c>
      <c r="B43" s="2" t="s">
        <v>1</v>
      </c>
      <c r="C43" s="2" t="s">
        <v>108</v>
      </c>
      <c r="D43" s="2" t="s">
        <v>3</v>
      </c>
      <c r="E43" s="2" t="s">
        <v>4</v>
      </c>
      <c r="F43" s="2" t="s">
        <v>112</v>
      </c>
      <c r="G43" s="2" t="s">
        <v>5</v>
      </c>
      <c r="H43" s="1"/>
      <c r="I43" s="1"/>
      <c r="J43" s="1"/>
    </row>
    <row r="44" spans="1:10">
      <c r="A44" s="20" t="s">
        <v>6</v>
      </c>
      <c r="B44" s="21">
        <v>74210</v>
      </c>
      <c r="C44" s="21" t="s">
        <v>103</v>
      </c>
      <c r="D44" s="21" t="s">
        <v>113</v>
      </c>
      <c r="E44" s="21" t="s">
        <v>98</v>
      </c>
      <c r="F44" s="21" t="s">
        <v>10</v>
      </c>
      <c r="G44" s="22">
        <v>31</v>
      </c>
      <c r="H44" t="s">
        <v>109</v>
      </c>
    </row>
    <row r="45" spans="1:10">
      <c r="A45" s="48" t="s">
        <v>6</v>
      </c>
      <c r="B45" s="38">
        <v>74210</v>
      </c>
      <c r="C45" s="38" t="s">
        <v>103</v>
      </c>
      <c r="D45" s="38" t="s">
        <v>113</v>
      </c>
      <c r="E45" s="38" t="s">
        <v>100</v>
      </c>
      <c r="F45" s="38" t="s">
        <v>12</v>
      </c>
      <c r="G45" s="49">
        <v>32</v>
      </c>
      <c r="H45" t="s">
        <v>109</v>
      </c>
    </row>
    <row r="46" spans="1:10">
      <c r="A46" s="23" t="s">
        <v>6</v>
      </c>
      <c r="B46" s="24">
        <v>87216</v>
      </c>
      <c r="C46" s="24" t="s">
        <v>103</v>
      </c>
      <c r="D46" s="24" t="s">
        <v>113</v>
      </c>
      <c r="E46" s="24" t="s">
        <v>98</v>
      </c>
      <c r="F46" s="24" t="s">
        <v>12</v>
      </c>
      <c r="G46" s="25">
        <v>32</v>
      </c>
    </row>
    <row r="47" spans="1:10">
      <c r="A47" s="11" t="s">
        <v>6</v>
      </c>
      <c r="B47" s="12">
        <v>87216</v>
      </c>
      <c r="C47" s="12" t="s">
        <v>103</v>
      </c>
      <c r="D47" s="12" t="s">
        <v>113</v>
      </c>
      <c r="E47" s="12" t="s">
        <v>100</v>
      </c>
      <c r="F47" s="12" t="s">
        <v>14</v>
      </c>
      <c r="G47" s="13">
        <v>35</v>
      </c>
      <c r="H47" t="s">
        <v>109</v>
      </c>
    </row>
    <row r="48" spans="1:10">
      <c r="A48" s="26" t="s">
        <v>6</v>
      </c>
      <c r="B48" s="27">
        <v>87217</v>
      </c>
      <c r="C48" s="27" t="s">
        <v>103</v>
      </c>
      <c r="D48" s="27" t="s">
        <v>113</v>
      </c>
      <c r="E48" s="27" t="s">
        <v>98</v>
      </c>
      <c r="F48" s="27" t="s">
        <v>10</v>
      </c>
      <c r="G48" s="28">
        <v>31</v>
      </c>
    </row>
    <row r="49" spans="1:8">
      <c r="A49" s="29" t="s">
        <v>6</v>
      </c>
      <c r="B49" s="30">
        <v>87217</v>
      </c>
      <c r="C49" s="30" t="s">
        <v>103</v>
      </c>
      <c r="D49" s="30" t="s">
        <v>113</v>
      </c>
      <c r="E49" s="30" t="s">
        <v>100</v>
      </c>
      <c r="F49" s="30" t="s">
        <v>14</v>
      </c>
      <c r="G49" s="31">
        <v>35</v>
      </c>
    </row>
    <row r="51" spans="1:8" ht="15">
      <c r="A51" s="2" t="s">
        <v>0</v>
      </c>
      <c r="B51" s="2" t="s">
        <v>1</v>
      </c>
      <c r="C51" s="2" t="s">
        <v>108</v>
      </c>
      <c r="D51" s="2" t="s">
        <v>3</v>
      </c>
      <c r="E51" s="2" t="s">
        <v>112</v>
      </c>
      <c r="F51" s="79" t="s">
        <v>172</v>
      </c>
    </row>
    <row r="52" spans="1:8">
      <c r="A52" s="3" t="s">
        <v>6</v>
      </c>
      <c r="B52" s="4" t="s">
        <v>113</v>
      </c>
      <c r="C52" s="4" t="s">
        <v>103</v>
      </c>
      <c r="D52" s="4" t="s">
        <v>113</v>
      </c>
      <c r="E52" s="78" t="s">
        <v>10</v>
      </c>
      <c r="F52" s="5">
        <v>31</v>
      </c>
    </row>
    <row r="53" spans="1:8">
      <c r="A53" s="6" t="s">
        <v>6</v>
      </c>
      <c r="B53" t="s">
        <v>113</v>
      </c>
      <c r="C53" t="s">
        <v>103</v>
      </c>
      <c r="D53" t="s">
        <v>113</v>
      </c>
      <c r="E53" s="77" t="s">
        <v>12</v>
      </c>
      <c r="F53" s="7">
        <v>32</v>
      </c>
    </row>
    <row r="54" spans="1:8">
      <c r="A54" s="8" t="s">
        <v>6</v>
      </c>
      <c r="B54" s="9" t="s">
        <v>113</v>
      </c>
      <c r="C54" s="9" t="s">
        <v>103</v>
      </c>
      <c r="D54" s="9" t="s">
        <v>113</v>
      </c>
      <c r="E54" s="76" t="s">
        <v>14</v>
      </c>
      <c r="F54" s="10">
        <v>35</v>
      </c>
    </row>
    <row r="61" spans="1:8" ht="15">
      <c r="A61" s="66" t="s">
        <v>0</v>
      </c>
      <c r="B61" s="66" t="s">
        <v>1</v>
      </c>
      <c r="C61" s="66" t="s">
        <v>108</v>
      </c>
      <c r="D61" s="66" t="s">
        <v>3</v>
      </c>
      <c r="E61" s="66" t="s">
        <v>98</v>
      </c>
      <c r="F61" s="66" t="s">
        <v>99</v>
      </c>
      <c r="G61" s="66" t="s">
        <v>100</v>
      </c>
      <c r="H61" s="66" t="s">
        <v>101</v>
      </c>
    </row>
    <row r="62" spans="1:8">
      <c r="A62" s="67" t="s">
        <v>6</v>
      </c>
      <c r="B62" s="68">
        <v>74210</v>
      </c>
      <c r="C62" s="68" t="s">
        <v>103</v>
      </c>
      <c r="D62" s="68" t="s">
        <v>113</v>
      </c>
      <c r="E62" s="68" t="s">
        <v>10</v>
      </c>
      <c r="F62" s="68">
        <v>31</v>
      </c>
      <c r="G62" s="68" t="s">
        <v>12</v>
      </c>
      <c r="H62" s="69">
        <v>32</v>
      </c>
    </row>
    <row r="63" spans="1:8">
      <c r="A63" s="70" t="s">
        <v>6</v>
      </c>
      <c r="B63" s="71">
        <v>87216</v>
      </c>
      <c r="C63" s="71" t="s">
        <v>103</v>
      </c>
      <c r="D63" s="71" t="s">
        <v>113</v>
      </c>
      <c r="E63" s="71" t="s">
        <v>12</v>
      </c>
      <c r="F63" s="71">
        <v>32</v>
      </c>
      <c r="G63" s="71" t="s">
        <v>14</v>
      </c>
      <c r="H63" s="72">
        <v>35</v>
      </c>
    </row>
    <row r="64" spans="1:8">
      <c r="A64" s="73" t="s">
        <v>6</v>
      </c>
      <c r="B64" s="74">
        <v>87217</v>
      </c>
      <c r="C64" s="74" t="s">
        <v>103</v>
      </c>
      <c r="D64" s="74" t="s">
        <v>113</v>
      </c>
      <c r="E64" s="74" t="s">
        <v>10</v>
      </c>
      <c r="F64" s="74">
        <v>31</v>
      </c>
      <c r="G64" s="74" t="s">
        <v>14</v>
      </c>
      <c r="H64" s="75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1620-BDDD-470B-8761-B4A5BE27B79C}">
  <dimension ref="A1:I49"/>
  <sheetViews>
    <sheetView workbookViewId="0">
      <pane ySplit="1" topLeftCell="A2" activePane="bottomLeft" state="frozen"/>
      <selection pane="bottomLeft" activeCell="G30" sqref="G30"/>
    </sheetView>
  </sheetViews>
  <sheetFormatPr defaultRowHeight="14.25"/>
  <cols>
    <col min="1" max="1" width="8.5" bestFit="1" customWidth="1"/>
    <col min="2" max="2" width="14.375" bestFit="1" customWidth="1"/>
    <col min="3" max="3" width="15.875" bestFit="1" customWidth="1"/>
    <col min="4" max="4" width="47.125" bestFit="1" customWidth="1"/>
    <col min="5" max="5" width="9.375" bestFit="1" customWidth="1"/>
    <col min="6" max="6" width="20.125" bestFit="1" customWidth="1"/>
    <col min="7" max="7" width="19.125" bestFit="1" customWidth="1"/>
  </cols>
  <sheetData>
    <row r="1" spans="1:9" s="2" customFormat="1" ht="15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129</v>
      </c>
      <c r="G1" s="2" t="s">
        <v>5</v>
      </c>
    </row>
    <row r="2" spans="1:9">
      <c r="A2" s="3" t="s">
        <v>114</v>
      </c>
      <c r="B2" s="4">
        <v>86186</v>
      </c>
      <c r="C2" s="4" t="s">
        <v>115</v>
      </c>
      <c r="D2" s="4" t="s">
        <v>116</v>
      </c>
      <c r="E2" s="4" t="s">
        <v>110</v>
      </c>
      <c r="F2" s="4" t="s">
        <v>117</v>
      </c>
      <c r="G2" s="5">
        <v>73</v>
      </c>
      <c r="H2">
        <v>1</v>
      </c>
    </row>
    <row r="3" spans="1:9">
      <c r="A3" s="6" t="s">
        <v>114</v>
      </c>
      <c r="B3">
        <v>86186</v>
      </c>
      <c r="C3" t="s">
        <v>115</v>
      </c>
      <c r="D3" t="s">
        <v>116</v>
      </c>
      <c r="E3" t="s">
        <v>111</v>
      </c>
      <c r="F3" t="s">
        <v>14</v>
      </c>
      <c r="G3" s="7">
        <v>70</v>
      </c>
      <c r="H3">
        <v>1</v>
      </c>
      <c r="I3">
        <f>IF(H3=1,G3,0)</f>
        <v>70</v>
      </c>
    </row>
    <row r="4" spans="1:9">
      <c r="A4" s="6" t="s">
        <v>114</v>
      </c>
      <c r="B4">
        <v>87223</v>
      </c>
      <c r="C4" t="s">
        <v>115</v>
      </c>
      <c r="D4" t="s">
        <v>137</v>
      </c>
      <c r="E4" t="s">
        <v>110</v>
      </c>
      <c r="F4" t="s">
        <v>117</v>
      </c>
      <c r="G4" s="7">
        <v>69</v>
      </c>
    </row>
    <row r="5" spans="1:9">
      <c r="A5" s="6" t="s">
        <v>114</v>
      </c>
      <c r="B5">
        <v>87223</v>
      </c>
      <c r="C5" t="s">
        <v>115</v>
      </c>
      <c r="D5" t="s">
        <v>137</v>
      </c>
      <c r="E5" t="s">
        <v>111</v>
      </c>
      <c r="F5" t="s">
        <v>75</v>
      </c>
      <c r="G5" s="7">
        <v>73</v>
      </c>
      <c r="H5">
        <v>1</v>
      </c>
      <c r="I5">
        <f>IF(H5=1,G5,0)</f>
        <v>73</v>
      </c>
    </row>
    <row r="6" spans="1:9">
      <c r="A6" s="6" t="s">
        <v>114</v>
      </c>
      <c r="B6">
        <v>89765</v>
      </c>
      <c r="C6" t="s">
        <v>115</v>
      </c>
      <c r="D6" t="s">
        <v>138</v>
      </c>
      <c r="E6" t="s">
        <v>110</v>
      </c>
      <c r="F6" t="s">
        <v>75</v>
      </c>
      <c r="G6" s="7">
        <v>69</v>
      </c>
      <c r="I6">
        <f>IF(H6=1,G6,0)</f>
        <v>0</v>
      </c>
    </row>
    <row r="7" spans="1:9">
      <c r="A7" s="8" t="s">
        <v>114</v>
      </c>
      <c r="B7" s="9">
        <v>89765</v>
      </c>
      <c r="C7" s="9" t="s">
        <v>115</v>
      </c>
      <c r="D7" s="9" t="s">
        <v>138</v>
      </c>
      <c r="E7" s="9" t="s">
        <v>111</v>
      </c>
      <c r="F7" s="9" t="s">
        <v>14</v>
      </c>
      <c r="G7" s="10">
        <v>70</v>
      </c>
      <c r="I7">
        <f>IF(H7=1,G7,0)</f>
        <v>0</v>
      </c>
    </row>
    <row r="8" spans="1:9">
      <c r="A8" s="3" t="s">
        <v>139</v>
      </c>
      <c r="B8" s="4">
        <v>77773</v>
      </c>
      <c r="C8" s="4" t="s">
        <v>115</v>
      </c>
      <c r="D8" s="4" t="s">
        <v>140</v>
      </c>
      <c r="E8" s="4" t="s">
        <v>110</v>
      </c>
      <c r="F8" s="4" t="s">
        <v>42</v>
      </c>
      <c r="G8" s="5">
        <v>129</v>
      </c>
    </row>
    <row r="9" spans="1:9">
      <c r="A9" s="8" t="s">
        <v>139</v>
      </c>
      <c r="B9" s="9">
        <v>77773</v>
      </c>
      <c r="C9" s="9" t="s">
        <v>115</v>
      </c>
      <c r="D9" s="9" t="s">
        <v>140</v>
      </c>
      <c r="E9" s="9" t="s">
        <v>111</v>
      </c>
      <c r="F9" s="9" t="s">
        <v>14</v>
      </c>
      <c r="G9" s="10">
        <v>130</v>
      </c>
      <c r="H9">
        <v>1</v>
      </c>
      <c r="I9">
        <f>IF(H9=1,G9,0)</f>
        <v>130</v>
      </c>
    </row>
    <row r="10" spans="1:9">
      <c r="A10" s="3" t="s">
        <v>141</v>
      </c>
      <c r="B10" s="4">
        <v>89813</v>
      </c>
      <c r="C10" s="4" t="s">
        <v>115</v>
      </c>
      <c r="D10" s="4" t="s">
        <v>138</v>
      </c>
      <c r="E10" s="4" t="s">
        <v>110</v>
      </c>
      <c r="F10" s="4" t="s">
        <v>42</v>
      </c>
      <c r="G10" s="5">
        <v>72</v>
      </c>
    </row>
    <row r="11" spans="1:9">
      <c r="A11" s="6" t="s">
        <v>141</v>
      </c>
      <c r="B11">
        <v>89813</v>
      </c>
      <c r="C11" t="s">
        <v>115</v>
      </c>
      <c r="D11" t="s">
        <v>138</v>
      </c>
      <c r="E11" t="s">
        <v>111</v>
      </c>
      <c r="F11" t="s">
        <v>14</v>
      </c>
      <c r="G11" s="7">
        <v>70</v>
      </c>
      <c r="H11">
        <v>1</v>
      </c>
      <c r="I11">
        <f>IF(H11=1,G11,0)</f>
        <v>70</v>
      </c>
    </row>
    <row r="12" spans="1:9">
      <c r="A12" s="6" t="s">
        <v>141</v>
      </c>
      <c r="B12" t="s">
        <v>142</v>
      </c>
      <c r="C12" t="s">
        <v>115</v>
      </c>
      <c r="D12" t="s">
        <v>143</v>
      </c>
      <c r="E12" t="s">
        <v>110</v>
      </c>
      <c r="F12" t="s">
        <v>42</v>
      </c>
      <c r="G12" s="7">
        <v>71</v>
      </c>
    </row>
    <row r="13" spans="1:9">
      <c r="A13" s="8" t="s">
        <v>141</v>
      </c>
      <c r="B13" s="9" t="s">
        <v>142</v>
      </c>
      <c r="C13" s="9" t="s">
        <v>115</v>
      </c>
      <c r="D13" s="9" t="s">
        <v>143</v>
      </c>
      <c r="E13" s="9" t="s">
        <v>111</v>
      </c>
      <c r="F13" s="9" t="s">
        <v>14</v>
      </c>
      <c r="G13" s="10">
        <v>70</v>
      </c>
      <c r="I13">
        <f>IF(H13=1,G13,0)</f>
        <v>0</v>
      </c>
    </row>
    <row r="14" spans="1:9">
      <c r="A14" s="3" t="s">
        <v>69</v>
      </c>
      <c r="B14" s="4">
        <v>87461</v>
      </c>
      <c r="C14" s="4" t="s">
        <v>115</v>
      </c>
      <c r="D14" s="4" t="s">
        <v>144</v>
      </c>
      <c r="E14" s="4" t="s">
        <v>110</v>
      </c>
      <c r="F14" s="4" t="s">
        <v>19</v>
      </c>
      <c r="G14" s="5">
        <v>15</v>
      </c>
    </row>
    <row r="15" spans="1:9">
      <c r="A15" s="8" t="s">
        <v>69</v>
      </c>
      <c r="B15" s="9">
        <v>87461</v>
      </c>
      <c r="C15" s="9" t="s">
        <v>115</v>
      </c>
      <c r="D15" s="9" t="s">
        <v>144</v>
      </c>
      <c r="E15" s="9" t="s">
        <v>111</v>
      </c>
      <c r="F15" s="9" t="s">
        <v>14</v>
      </c>
      <c r="G15" s="10">
        <v>17</v>
      </c>
      <c r="H15">
        <v>1</v>
      </c>
      <c r="I15">
        <f>IF(H15=1,G15,0)</f>
        <v>17</v>
      </c>
    </row>
    <row r="16" spans="1:9">
      <c r="A16" s="3" t="s">
        <v>145</v>
      </c>
      <c r="B16" s="4">
        <v>88118</v>
      </c>
      <c r="C16" s="4" t="s">
        <v>115</v>
      </c>
      <c r="D16" s="4" t="s">
        <v>146</v>
      </c>
      <c r="E16" s="4" t="s">
        <v>110</v>
      </c>
      <c r="F16" s="4" t="s">
        <v>42</v>
      </c>
      <c r="G16" s="5">
        <v>28</v>
      </c>
    </row>
    <row r="17" spans="1:9">
      <c r="A17" s="8" t="s">
        <v>145</v>
      </c>
      <c r="B17" s="9">
        <v>88118</v>
      </c>
      <c r="C17" s="9" t="s">
        <v>115</v>
      </c>
      <c r="D17" s="9" t="s">
        <v>146</v>
      </c>
      <c r="E17" s="9" t="s">
        <v>111</v>
      </c>
      <c r="F17" s="9" t="s">
        <v>14</v>
      </c>
      <c r="G17" s="10">
        <v>23</v>
      </c>
      <c r="H17">
        <v>1</v>
      </c>
      <c r="I17">
        <f>IF(H17=1,G17,0)</f>
        <v>23</v>
      </c>
    </row>
    <row r="18" spans="1:9">
      <c r="A18" s="3" t="s">
        <v>147</v>
      </c>
      <c r="B18" s="4">
        <v>86415</v>
      </c>
      <c r="C18" s="4" t="s">
        <v>115</v>
      </c>
      <c r="D18" s="4" t="s">
        <v>146</v>
      </c>
      <c r="E18" s="4" t="s">
        <v>110</v>
      </c>
      <c r="F18" s="4" t="s">
        <v>75</v>
      </c>
      <c r="G18" s="5">
        <v>25</v>
      </c>
      <c r="H18">
        <v>1</v>
      </c>
      <c r="I18">
        <f>IF(H18=1,G18,0)</f>
        <v>25</v>
      </c>
    </row>
    <row r="19" spans="1:9">
      <c r="A19" s="8" t="s">
        <v>147</v>
      </c>
      <c r="B19" s="9">
        <v>86415</v>
      </c>
      <c r="C19" s="9" t="s">
        <v>115</v>
      </c>
      <c r="D19" s="9" t="s">
        <v>146</v>
      </c>
      <c r="E19" s="9" t="s">
        <v>111</v>
      </c>
      <c r="F19" s="9" t="s">
        <v>14</v>
      </c>
      <c r="G19" s="10">
        <v>27</v>
      </c>
      <c r="H19">
        <v>1</v>
      </c>
      <c r="I19">
        <f>IF(H19=1,G19,0)</f>
        <v>27</v>
      </c>
    </row>
    <row r="20" spans="1:9">
      <c r="A20" s="3" t="s">
        <v>148</v>
      </c>
      <c r="B20" s="4">
        <v>86431</v>
      </c>
      <c r="C20" s="4" t="s">
        <v>115</v>
      </c>
      <c r="D20" s="4" t="s">
        <v>149</v>
      </c>
      <c r="E20" s="4" t="s">
        <v>110</v>
      </c>
      <c r="F20" s="4" t="s">
        <v>150</v>
      </c>
      <c r="G20" s="5">
        <v>86</v>
      </c>
    </row>
    <row r="21" spans="1:9">
      <c r="A21" s="8" t="s">
        <v>148</v>
      </c>
      <c r="B21" s="9">
        <v>86431</v>
      </c>
      <c r="C21" s="9" t="s">
        <v>115</v>
      </c>
      <c r="D21" s="9" t="s">
        <v>149</v>
      </c>
      <c r="E21" s="9" t="s">
        <v>111</v>
      </c>
      <c r="F21" s="9" t="s">
        <v>14</v>
      </c>
      <c r="G21" s="10">
        <v>99</v>
      </c>
      <c r="H21">
        <v>1</v>
      </c>
      <c r="I21">
        <f>IF(H21=1,G21,0)</f>
        <v>99</v>
      </c>
    </row>
    <row r="22" spans="1:9">
      <c r="A22" s="3" t="s">
        <v>151</v>
      </c>
      <c r="B22" s="4">
        <v>88710</v>
      </c>
      <c r="C22" s="4" t="s">
        <v>115</v>
      </c>
      <c r="D22" s="4" t="s">
        <v>152</v>
      </c>
      <c r="E22" s="4" t="s">
        <v>110</v>
      </c>
      <c r="F22" s="4" t="s">
        <v>75</v>
      </c>
      <c r="G22" s="5">
        <v>29</v>
      </c>
      <c r="H22">
        <v>1</v>
      </c>
      <c r="I22">
        <f>IF(H22=1,G22,0)</f>
        <v>29</v>
      </c>
    </row>
    <row r="23" spans="1:9">
      <c r="A23" s="6" t="s">
        <v>151</v>
      </c>
      <c r="B23">
        <v>88710</v>
      </c>
      <c r="C23" t="s">
        <v>115</v>
      </c>
      <c r="D23" t="s">
        <v>152</v>
      </c>
      <c r="E23" t="s">
        <v>111</v>
      </c>
      <c r="F23" t="s">
        <v>14</v>
      </c>
      <c r="G23" s="7">
        <v>29</v>
      </c>
      <c r="H23">
        <v>1</v>
      </c>
      <c r="I23">
        <f>IF(H23=1,G23,0)</f>
        <v>29</v>
      </c>
    </row>
    <row r="24" spans="1:9">
      <c r="A24" s="6" t="s">
        <v>151</v>
      </c>
      <c r="B24" t="s">
        <v>153</v>
      </c>
      <c r="C24" t="s">
        <v>115</v>
      </c>
      <c r="D24" t="s">
        <v>152</v>
      </c>
      <c r="E24" t="s">
        <v>110</v>
      </c>
      <c r="F24" t="s">
        <v>75</v>
      </c>
      <c r="G24" s="7">
        <v>26</v>
      </c>
      <c r="I24">
        <f>IF(H24=1,G24,0)</f>
        <v>0</v>
      </c>
    </row>
    <row r="25" spans="1:9">
      <c r="A25" s="8" t="s">
        <v>151</v>
      </c>
      <c r="B25" s="9" t="s">
        <v>153</v>
      </c>
      <c r="C25" s="9" t="s">
        <v>115</v>
      </c>
      <c r="D25" s="9" t="s">
        <v>152</v>
      </c>
      <c r="E25" s="9" t="s">
        <v>111</v>
      </c>
      <c r="F25" s="9" t="s">
        <v>14</v>
      </c>
      <c r="G25" s="10">
        <v>29</v>
      </c>
      <c r="I25">
        <f>IF(H25=1,G25,0)</f>
        <v>0</v>
      </c>
    </row>
    <row r="26" spans="1:9">
      <c r="A26" s="3" t="s">
        <v>154</v>
      </c>
      <c r="B26" s="4">
        <v>88692</v>
      </c>
      <c r="C26" s="4" t="s">
        <v>115</v>
      </c>
      <c r="D26" s="4" t="s">
        <v>155</v>
      </c>
      <c r="E26" s="4" t="s">
        <v>110</v>
      </c>
      <c r="F26" s="4" t="s">
        <v>117</v>
      </c>
      <c r="G26" s="5">
        <v>46</v>
      </c>
      <c r="H26">
        <v>1</v>
      </c>
    </row>
    <row r="27" spans="1:9">
      <c r="A27" s="6" t="s">
        <v>154</v>
      </c>
      <c r="B27">
        <v>88692</v>
      </c>
      <c r="C27" t="s">
        <v>115</v>
      </c>
      <c r="D27" t="s">
        <v>155</v>
      </c>
      <c r="E27" t="s">
        <v>111</v>
      </c>
      <c r="F27" t="s">
        <v>75</v>
      </c>
      <c r="G27" s="7">
        <v>45</v>
      </c>
      <c r="H27">
        <v>1</v>
      </c>
      <c r="I27">
        <f>IF(H27=1,G27,0)</f>
        <v>45</v>
      </c>
    </row>
    <row r="28" spans="1:9">
      <c r="A28" s="6" t="s">
        <v>154</v>
      </c>
      <c r="B28">
        <v>88693</v>
      </c>
      <c r="C28" t="s">
        <v>115</v>
      </c>
      <c r="D28" t="s">
        <v>156</v>
      </c>
      <c r="E28" t="s">
        <v>110</v>
      </c>
      <c r="F28" t="s">
        <v>117</v>
      </c>
      <c r="G28" s="7">
        <v>45</v>
      </c>
    </row>
    <row r="29" spans="1:9">
      <c r="A29" s="6" t="s">
        <v>154</v>
      </c>
      <c r="B29">
        <v>88693</v>
      </c>
      <c r="C29" t="s">
        <v>115</v>
      </c>
      <c r="D29" t="s">
        <v>156</v>
      </c>
      <c r="E29" t="s">
        <v>111</v>
      </c>
      <c r="F29" t="s">
        <v>14</v>
      </c>
      <c r="G29" s="7">
        <v>52</v>
      </c>
      <c r="H29">
        <v>1</v>
      </c>
      <c r="I29">
        <f>IF(H29=1,G29,0)</f>
        <v>52</v>
      </c>
    </row>
    <row r="30" spans="1:9">
      <c r="A30" s="6" t="s">
        <v>154</v>
      </c>
      <c r="B30" t="s">
        <v>157</v>
      </c>
      <c r="C30" t="s">
        <v>115</v>
      </c>
      <c r="D30" t="s">
        <v>156</v>
      </c>
      <c r="E30" t="s">
        <v>110</v>
      </c>
      <c r="F30" t="s">
        <v>75</v>
      </c>
      <c r="G30" s="7">
        <v>46</v>
      </c>
      <c r="I30">
        <f>IF(H30=1,G30,0)</f>
        <v>0</v>
      </c>
    </row>
    <row r="31" spans="1:9">
      <c r="A31" s="8" t="s">
        <v>154</v>
      </c>
      <c r="B31" s="9" t="s">
        <v>157</v>
      </c>
      <c r="C31" s="9" t="s">
        <v>115</v>
      </c>
      <c r="D31" s="9" t="s">
        <v>156</v>
      </c>
      <c r="E31" s="9" t="s">
        <v>111</v>
      </c>
      <c r="F31" s="9" t="s">
        <v>14</v>
      </c>
      <c r="G31" s="10">
        <v>52</v>
      </c>
      <c r="I31">
        <f>IF(H31=1,G31,0)</f>
        <v>0</v>
      </c>
    </row>
    <row r="32" spans="1:9">
      <c r="A32" s="3" t="s">
        <v>158</v>
      </c>
      <c r="B32" s="4">
        <v>88775</v>
      </c>
      <c r="C32" s="4" t="s">
        <v>115</v>
      </c>
      <c r="D32" s="4" t="s">
        <v>159</v>
      </c>
      <c r="E32" s="4" t="s">
        <v>110</v>
      </c>
      <c r="F32" s="4" t="s">
        <v>117</v>
      </c>
      <c r="G32" s="5">
        <v>76</v>
      </c>
      <c r="H32">
        <v>1</v>
      </c>
    </row>
    <row r="33" spans="1:9">
      <c r="A33" s="6" t="s">
        <v>158</v>
      </c>
      <c r="B33">
        <v>88775</v>
      </c>
      <c r="C33" t="s">
        <v>115</v>
      </c>
      <c r="D33" t="s">
        <v>159</v>
      </c>
      <c r="E33" t="s">
        <v>111</v>
      </c>
      <c r="F33" t="s">
        <v>14</v>
      </c>
      <c r="G33" s="7">
        <v>76</v>
      </c>
      <c r="H33">
        <v>1</v>
      </c>
      <c r="I33">
        <f>IF(H33=1,G33,0)</f>
        <v>76</v>
      </c>
    </row>
    <row r="34" spans="1:9">
      <c r="A34" s="6" t="s">
        <v>158</v>
      </c>
      <c r="B34">
        <v>89179</v>
      </c>
      <c r="C34" t="s">
        <v>115</v>
      </c>
      <c r="D34" t="s">
        <v>159</v>
      </c>
      <c r="E34" t="s">
        <v>110</v>
      </c>
      <c r="F34" t="s">
        <v>117</v>
      </c>
      <c r="G34" s="7">
        <v>73</v>
      </c>
    </row>
    <row r="35" spans="1:9">
      <c r="A35" s="8" t="s">
        <v>158</v>
      </c>
      <c r="B35" s="9">
        <v>89179</v>
      </c>
      <c r="C35" s="9" t="s">
        <v>115</v>
      </c>
      <c r="D35" s="9" t="s">
        <v>159</v>
      </c>
      <c r="E35" s="9" t="s">
        <v>111</v>
      </c>
      <c r="F35" s="9" t="s">
        <v>14</v>
      </c>
      <c r="G35" s="10">
        <v>76</v>
      </c>
      <c r="I35">
        <f>IF(H35=1,G35,0)</f>
        <v>0</v>
      </c>
    </row>
    <row r="36" spans="1:9">
      <c r="A36" s="3" t="s">
        <v>160</v>
      </c>
      <c r="B36" s="4">
        <v>82135</v>
      </c>
      <c r="C36" s="4" t="s">
        <v>115</v>
      </c>
      <c r="D36" s="4" t="s">
        <v>161</v>
      </c>
      <c r="E36" s="4" t="s">
        <v>110</v>
      </c>
      <c r="F36" s="4" t="s">
        <v>162</v>
      </c>
      <c r="G36" s="5">
        <v>79</v>
      </c>
    </row>
    <row r="37" spans="1:9">
      <c r="A37" s="6" t="s">
        <v>160</v>
      </c>
      <c r="B37">
        <v>82135</v>
      </c>
      <c r="C37" t="s">
        <v>115</v>
      </c>
      <c r="D37" t="s">
        <v>161</v>
      </c>
      <c r="E37" t="s">
        <v>111</v>
      </c>
      <c r="F37" t="s">
        <v>14</v>
      </c>
      <c r="G37" s="7">
        <v>80</v>
      </c>
      <c r="H37">
        <v>1</v>
      </c>
      <c r="I37">
        <f>IF(H37=1,G37,0)</f>
        <v>80</v>
      </c>
    </row>
    <row r="38" spans="1:9">
      <c r="A38" s="6" t="s">
        <v>160</v>
      </c>
      <c r="B38">
        <v>86189</v>
      </c>
      <c r="C38" t="s">
        <v>115</v>
      </c>
      <c r="D38" t="s">
        <v>161</v>
      </c>
      <c r="E38" t="s">
        <v>110</v>
      </c>
      <c r="F38" t="s">
        <v>117</v>
      </c>
      <c r="G38" s="7">
        <v>84</v>
      </c>
      <c r="H38">
        <v>1</v>
      </c>
    </row>
    <row r="39" spans="1:9">
      <c r="A39" s="6" t="s">
        <v>160</v>
      </c>
      <c r="B39">
        <v>86189</v>
      </c>
      <c r="C39" t="s">
        <v>115</v>
      </c>
      <c r="D39" t="s">
        <v>161</v>
      </c>
      <c r="E39" t="s">
        <v>111</v>
      </c>
      <c r="F39" t="s">
        <v>14</v>
      </c>
      <c r="G39" s="7">
        <v>80</v>
      </c>
      <c r="I39">
        <f>IF(H39=1,G39,0)</f>
        <v>0</v>
      </c>
    </row>
    <row r="40" spans="1:9">
      <c r="A40" s="6" t="s">
        <v>160</v>
      </c>
      <c r="B40">
        <v>87221</v>
      </c>
      <c r="C40" t="s">
        <v>115</v>
      </c>
      <c r="D40" t="s">
        <v>161</v>
      </c>
      <c r="E40" t="s">
        <v>110</v>
      </c>
      <c r="F40" t="s">
        <v>117</v>
      </c>
      <c r="G40" s="7">
        <v>84</v>
      </c>
    </row>
    <row r="41" spans="1:9">
      <c r="A41" s="8" t="s">
        <v>160</v>
      </c>
      <c r="B41" s="9">
        <v>87221</v>
      </c>
      <c r="C41" s="9" t="s">
        <v>115</v>
      </c>
      <c r="D41" s="9" t="s">
        <v>161</v>
      </c>
      <c r="E41" s="9" t="s">
        <v>111</v>
      </c>
      <c r="F41" s="9" t="s">
        <v>162</v>
      </c>
      <c r="G41" s="10">
        <v>79</v>
      </c>
    </row>
    <row r="42" spans="1:9">
      <c r="A42" s="3" t="s">
        <v>163</v>
      </c>
      <c r="B42" s="4">
        <v>90473</v>
      </c>
      <c r="C42" s="4" t="s">
        <v>115</v>
      </c>
      <c r="D42" s="4" t="s">
        <v>164</v>
      </c>
      <c r="E42" s="4" t="s">
        <v>110</v>
      </c>
      <c r="F42" s="4" t="s">
        <v>42</v>
      </c>
      <c r="G42" s="5">
        <v>107</v>
      </c>
    </row>
    <row r="43" spans="1:9">
      <c r="A43" s="8" t="s">
        <v>163</v>
      </c>
      <c r="B43" s="9">
        <v>90473</v>
      </c>
      <c r="C43" s="9" t="s">
        <v>115</v>
      </c>
      <c r="D43" s="9" t="s">
        <v>164</v>
      </c>
      <c r="E43" s="9" t="s">
        <v>111</v>
      </c>
      <c r="F43" s="9" t="s">
        <v>14</v>
      </c>
      <c r="G43" s="10">
        <v>82</v>
      </c>
      <c r="H43">
        <v>1</v>
      </c>
      <c r="I43">
        <f>IF(H43=1,G43,0)</f>
        <v>82</v>
      </c>
    </row>
    <row r="44" spans="1:9">
      <c r="A44" s="3" t="s">
        <v>165</v>
      </c>
      <c r="B44" s="4">
        <v>90508</v>
      </c>
      <c r="C44" s="4" t="s">
        <v>115</v>
      </c>
      <c r="D44" s="4" t="s">
        <v>166</v>
      </c>
      <c r="E44" s="4" t="s">
        <v>110</v>
      </c>
      <c r="F44" s="4" t="s">
        <v>167</v>
      </c>
      <c r="G44" s="5">
        <v>28</v>
      </c>
    </row>
    <row r="45" spans="1:9">
      <c r="A45" s="8" t="s">
        <v>165</v>
      </c>
      <c r="B45" s="9">
        <v>90508</v>
      </c>
      <c r="C45" s="9" t="s">
        <v>115</v>
      </c>
      <c r="D45" s="9" t="s">
        <v>166</v>
      </c>
      <c r="E45" s="9" t="s">
        <v>111</v>
      </c>
      <c r="F45" s="9" t="s">
        <v>14</v>
      </c>
      <c r="G45" s="10">
        <v>31</v>
      </c>
      <c r="H45">
        <v>1</v>
      </c>
      <c r="I45">
        <f>IF(H45=1,G45,0)</f>
        <v>31</v>
      </c>
    </row>
    <row r="46" spans="1:9">
      <c r="A46" s="3" t="s">
        <v>168</v>
      </c>
      <c r="B46" s="4" t="s">
        <v>169</v>
      </c>
      <c r="C46" s="4" t="s">
        <v>115</v>
      </c>
      <c r="D46" s="4" t="s">
        <v>156</v>
      </c>
      <c r="E46" s="4" t="s">
        <v>110</v>
      </c>
      <c r="F46" s="4" t="s">
        <v>75</v>
      </c>
      <c r="G46" s="5">
        <v>44</v>
      </c>
      <c r="H46">
        <v>1</v>
      </c>
      <c r="I46">
        <f>IF(H46=1,G46,0)</f>
        <v>44</v>
      </c>
    </row>
    <row r="47" spans="1:9">
      <c r="A47" s="6" t="s">
        <v>168</v>
      </c>
      <c r="B47" t="s">
        <v>169</v>
      </c>
      <c r="C47" t="s">
        <v>115</v>
      </c>
      <c r="D47" t="s">
        <v>156</v>
      </c>
      <c r="E47" t="s">
        <v>111</v>
      </c>
      <c r="F47" t="s">
        <v>14</v>
      </c>
      <c r="G47" s="7">
        <v>50</v>
      </c>
      <c r="H47">
        <v>1</v>
      </c>
      <c r="I47">
        <f>IF(H47=1,G47,0)</f>
        <v>50</v>
      </c>
    </row>
    <row r="48" spans="1:9">
      <c r="A48" s="6" t="s">
        <v>168</v>
      </c>
      <c r="B48" t="s">
        <v>170</v>
      </c>
      <c r="C48" t="s">
        <v>115</v>
      </c>
      <c r="D48" t="s">
        <v>156</v>
      </c>
      <c r="E48" t="s">
        <v>110</v>
      </c>
      <c r="F48" t="s">
        <v>75</v>
      </c>
      <c r="G48" s="7">
        <v>48</v>
      </c>
      <c r="I48">
        <f>IF(H48=1,G48,0)</f>
        <v>0</v>
      </c>
    </row>
    <row r="49" spans="1:9">
      <c r="A49" s="8" t="s">
        <v>168</v>
      </c>
      <c r="B49" s="9" t="s">
        <v>170</v>
      </c>
      <c r="C49" s="9" t="s">
        <v>115</v>
      </c>
      <c r="D49" s="9" t="s">
        <v>156</v>
      </c>
      <c r="E49" s="9" t="s">
        <v>111</v>
      </c>
      <c r="F49" s="9" t="s">
        <v>14</v>
      </c>
      <c r="G49" s="10">
        <v>50</v>
      </c>
      <c r="I49">
        <f>IF(H49=1,G49,0)</f>
        <v>0</v>
      </c>
    </row>
  </sheetData>
  <autoFilter ref="A1:K50" xr:uid="{812B1620-BDDD-470B-8761-B4A5BE27B79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80BE-3D29-4E6A-BB7F-A3B9EC8E0D12}">
  <dimension ref="A1:J62"/>
  <sheetViews>
    <sheetView topLeftCell="A30" workbookViewId="0">
      <selection activeCell="D65" sqref="D65"/>
    </sheetView>
  </sheetViews>
  <sheetFormatPr defaultRowHeight="14.25"/>
  <cols>
    <col min="1" max="1" width="10.75" bestFit="1" customWidth="1"/>
    <col min="2" max="2" width="19.75" bestFit="1" customWidth="1"/>
    <col min="3" max="3" width="20.625" customWidth="1"/>
    <col min="4" max="4" width="54.875" bestFit="1" customWidth="1"/>
    <col min="5" max="5" width="18.5" bestFit="1" customWidth="1"/>
    <col min="6" max="6" width="17.875" bestFit="1" customWidth="1"/>
    <col min="7" max="7" width="20.75" bestFit="1" customWidth="1"/>
    <col min="8" max="8" width="15.625" bestFit="1" customWidth="1"/>
  </cols>
  <sheetData>
    <row r="1" spans="1:9" ht="15">
      <c r="A1" s="2" t="s">
        <v>0</v>
      </c>
      <c r="B1" s="2" t="s">
        <v>1</v>
      </c>
      <c r="C1" s="2" t="s">
        <v>108</v>
      </c>
      <c r="D1" s="2" t="s">
        <v>3</v>
      </c>
      <c r="E1" s="2" t="s">
        <v>98</v>
      </c>
      <c r="F1" s="2" t="s">
        <v>119</v>
      </c>
      <c r="G1" s="2" t="s">
        <v>120</v>
      </c>
      <c r="H1" s="2" t="s">
        <v>121</v>
      </c>
      <c r="I1" t="s">
        <v>122</v>
      </c>
    </row>
    <row r="2" spans="1:9">
      <c r="A2" s="20" t="s">
        <v>114</v>
      </c>
      <c r="B2" s="21">
        <v>86186</v>
      </c>
      <c r="C2" s="21" t="s">
        <v>115</v>
      </c>
      <c r="D2" s="21" t="s">
        <v>116</v>
      </c>
      <c r="E2" s="21" t="s">
        <v>117</v>
      </c>
      <c r="F2" s="21">
        <v>73</v>
      </c>
      <c r="G2" s="21" t="s">
        <v>14</v>
      </c>
      <c r="H2" s="21">
        <v>70</v>
      </c>
      <c r="I2" s="22">
        <v>143</v>
      </c>
    </row>
    <row r="3" spans="1:9">
      <c r="A3" s="48" t="s">
        <v>114</v>
      </c>
      <c r="B3" s="38">
        <v>86186</v>
      </c>
      <c r="C3" s="38" t="s">
        <v>115</v>
      </c>
      <c r="D3" s="38" t="s">
        <v>123</v>
      </c>
      <c r="E3" s="38" t="s">
        <v>117</v>
      </c>
      <c r="F3" s="38">
        <v>73</v>
      </c>
      <c r="G3" s="38" t="s">
        <v>14</v>
      </c>
      <c r="H3" s="38">
        <v>70</v>
      </c>
      <c r="I3" s="49">
        <v>143</v>
      </c>
    </row>
    <row r="4" spans="1:9">
      <c r="A4" s="48" t="s">
        <v>114</v>
      </c>
      <c r="B4" s="38">
        <v>86186</v>
      </c>
      <c r="C4" s="38" t="s">
        <v>115</v>
      </c>
      <c r="D4" s="38" t="s">
        <v>124</v>
      </c>
      <c r="E4" s="38" t="s">
        <v>117</v>
      </c>
      <c r="F4" s="38">
        <v>73</v>
      </c>
      <c r="G4" s="38" t="s">
        <v>14</v>
      </c>
      <c r="H4" s="38">
        <v>70</v>
      </c>
      <c r="I4" s="49">
        <v>143</v>
      </c>
    </row>
    <row r="5" spans="1:9">
      <c r="A5" s="48" t="s">
        <v>114</v>
      </c>
      <c r="B5" s="38">
        <v>86186</v>
      </c>
      <c r="C5" s="38" t="s">
        <v>115</v>
      </c>
      <c r="D5" s="38" t="s">
        <v>125</v>
      </c>
      <c r="E5" s="38" t="s">
        <v>117</v>
      </c>
      <c r="F5" s="38">
        <v>73</v>
      </c>
      <c r="G5" s="38" t="s">
        <v>14</v>
      </c>
      <c r="H5" s="38">
        <v>70</v>
      </c>
      <c r="I5" s="49">
        <v>143</v>
      </c>
    </row>
    <row r="6" spans="1:9">
      <c r="A6" s="48" t="s">
        <v>114</v>
      </c>
      <c r="B6" s="38">
        <v>86186</v>
      </c>
      <c r="C6" s="38" t="s">
        <v>115</v>
      </c>
      <c r="D6" s="38" t="s">
        <v>118</v>
      </c>
      <c r="E6" s="38" t="s">
        <v>117</v>
      </c>
      <c r="F6" s="38">
        <v>73</v>
      </c>
      <c r="G6" s="38" t="s">
        <v>14</v>
      </c>
      <c r="H6" s="38">
        <v>70</v>
      </c>
      <c r="I6" s="49">
        <v>143</v>
      </c>
    </row>
    <row r="7" spans="1:9">
      <c r="A7" s="50" t="s">
        <v>114</v>
      </c>
      <c r="B7" s="51">
        <v>86186</v>
      </c>
      <c r="C7" s="51" t="s">
        <v>115</v>
      </c>
      <c r="D7" s="51" t="s">
        <v>126</v>
      </c>
      <c r="E7" s="51" t="s">
        <v>127</v>
      </c>
      <c r="F7" s="51">
        <v>73</v>
      </c>
      <c r="G7" s="51" t="s">
        <v>14</v>
      </c>
      <c r="H7" s="51">
        <v>70</v>
      </c>
      <c r="I7" s="52">
        <v>143</v>
      </c>
    </row>
    <row r="8" spans="1:9">
      <c r="A8" s="11" t="s">
        <v>114</v>
      </c>
      <c r="B8" s="12">
        <v>87223</v>
      </c>
      <c r="C8" s="12" t="s">
        <v>115</v>
      </c>
      <c r="D8" s="12" t="s">
        <v>118</v>
      </c>
      <c r="E8" s="12" t="s">
        <v>117</v>
      </c>
      <c r="F8" s="12">
        <v>69</v>
      </c>
      <c r="G8" s="12" t="s">
        <v>75</v>
      </c>
      <c r="H8" s="12">
        <v>73</v>
      </c>
      <c r="I8" s="13">
        <v>142</v>
      </c>
    </row>
    <row r="9" spans="1:9">
      <c r="A9" s="11" t="s">
        <v>114</v>
      </c>
      <c r="B9" s="12">
        <v>87223</v>
      </c>
      <c r="C9" s="12" t="s">
        <v>115</v>
      </c>
      <c r="D9" s="12" t="s">
        <v>126</v>
      </c>
      <c r="E9" s="12" t="s">
        <v>127</v>
      </c>
      <c r="F9" s="12">
        <v>69</v>
      </c>
      <c r="G9" s="12" t="s">
        <v>75</v>
      </c>
      <c r="H9" s="12">
        <v>73</v>
      </c>
      <c r="I9" s="13">
        <v>142</v>
      </c>
    </row>
    <row r="10" spans="1:9">
      <c r="A10" s="11" t="s">
        <v>114</v>
      </c>
      <c r="B10" s="12">
        <v>87223</v>
      </c>
      <c r="C10" s="12" t="s">
        <v>115</v>
      </c>
      <c r="D10" s="12" t="s">
        <v>116</v>
      </c>
      <c r="E10" s="12" t="s">
        <v>117</v>
      </c>
      <c r="F10" s="12">
        <v>69</v>
      </c>
      <c r="G10" s="12" t="s">
        <v>75</v>
      </c>
      <c r="H10" s="12">
        <v>73</v>
      </c>
      <c r="I10" s="13">
        <v>142</v>
      </c>
    </row>
    <row r="11" spans="1:9">
      <c r="A11" s="11" t="s">
        <v>114</v>
      </c>
      <c r="B11" s="12">
        <v>87223</v>
      </c>
      <c r="C11" s="12" t="s">
        <v>115</v>
      </c>
      <c r="D11" s="12" t="s">
        <v>125</v>
      </c>
      <c r="E11" s="12" t="s">
        <v>117</v>
      </c>
      <c r="F11" s="12">
        <v>69</v>
      </c>
      <c r="G11" s="12" t="s">
        <v>75</v>
      </c>
      <c r="H11" s="12">
        <v>73</v>
      </c>
      <c r="I11" s="13">
        <v>142</v>
      </c>
    </row>
    <row r="12" spans="1:9">
      <c r="A12" s="11" t="s">
        <v>114</v>
      </c>
      <c r="B12" s="12">
        <v>87223</v>
      </c>
      <c r="C12" s="12" t="s">
        <v>115</v>
      </c>
      <c r="D12" s="12" t="s">
        <v>123</v>
      </c>
      <c r="E12" s="12" t="s">
        <v>117</v>
      </c>
      <c r="F12" s="12">
        <v>69</v>
      </c>
      <c r="G12" s="12" t="s">
        <v>75</v>
      </c>
      <c r="H12" s="12">
        <v>73</v>
      </c>
      <c r="I12" s="13">
        <v>142</v>
      </c>
    </row>
    <row r="13" spans="1:9">
      <c r="A13" s="11" t="s">
        <v>114</v>
      </c>
      <c r="B13" s="12">
        <v>87223</v>
      </c>
      <c r="C13" s="12" t="s">
        <v>115</v>
      </c>
      <c r="D13" s="12" t="s">
        <v>124</v>
      </c>
      <c r="E13" s="12" t="s">
        <v>117</v>
      </c>
      <c r="F13" s="12">
        <v>69</v>
      </c>
      <c r="G13" s="12" t="s">
        <v>75</v>
      </c>
      <c r="H13" s="12">
        <v>73</v>
      </c>
      <c r="I13" s="13">
        <v>142</v>
      </c>
    </row>
    <row r="14" spans="1:9">
      <c r="A14" s="14" t="s">
        <v>114</v>
      </c>
      <c r="B14" s="15">
        <v>89765</v>
      </c>
      <c r="C14" s="15" t="s">
        <v>115</v>
      </c>
      <c r="D14" s="15" t="s">
        <v>126</v>
      </c>
      <c r="E14" s="15" t="s">
        <v>128</v>
      </c>
      <c r="F14" s="15">
        <v>69</v>
      </c>
      <c r="G14" s="15" t="s">
        <v>14</v>
      </c>
      <c r="H14" s="15">
        <v>70</v>
      </c>
      <c r="I14" s="16">
        <v>139</v>
      </c>
    </row>
    <row r="15" spans="1:9">
      <c r="A15" s="14" t="s">
        <v>114</v>
      </c>
      <c r="B15" s="15">
        <v>89765</v>
      </c>
      <c r="C15" s="15" t="s">
        <v>115</v>
      </c>
      <c r="D15" s="15" t="s">
        <v>116</v>
      </c>
      <c r="E15" s="15" t="s">
        <v>75</v>
      </c>
      <c r="F15" s="15">
        <v>69</v>
      </c>
      <c r="G15" s="15" t="s">
        <v>14</v>
      </c>
      <c r="H15" s="15">
        <v>70</v>
      </c>
      <c r="I15" s="16">
        <v>139</v>
      </c>
    </row>
    <row r="16" spans="1:9">
      <c r="A16" s="14" t="s">
        <v>114</v>
      </c>
      <c r="B16" s="15">
        <v>89765</v>
      </c>
      <c r="C16" s="15" t="s">
        <v>115</v>
      </c>
      <c r="D16" s="15" t="s">
        <v>123</v>
      </c>
      <c r="E16" s="15" t="s">
        <v>75</v>
      </c>
      <c r="F16" s="15">
        <v>69</v>
      </c>
      <c r="G16" s="15" t="s">
        <v>14</v>
      </c>
      <c r="H16" s="15">
        <v>70</v>
      </c>
      <c r="I16" s="16">
        <v>139</v>
      </c>
    </row>
    <row r="17" spans="1:10">
      <c r="A17" s="14" t="s">
        <v>114</v>
      </c>
      <c r="B17" s="15">
        <v>89765</v>
      </c>
      <c r="C17" s="15" t="s">
        <v>115</v>
      </c>
      <c r="D17" s="15" t="s">
        <v>124</v>
      </c>
      <c r="E17" s="15" t="s">
        <v>75</v>
      </c>
      <c r="F17" s="15">
        <v>69</v>
      </c>
      <c r="G17" s="15" t="s">
        <v>14</v>
      </c>
      <c r="H17" s="15">
        <v>70</v>
      </c>
      <c r="I17" s="16">
        <v>139</v>
      </c>
    </row>
    <row r="18" spans="1:10">
      <c r="A18" s="14" t="s">
        <v>114</v>
      </c>
      <c r="B18" s="15">
        <v>89765</v>
      </c>
      <c r="C18" s="15" t="s">
        <v>115</v>
      </c>
      <c r="D18" s="15" t="s">
        <v>125</v>
      </c>
      <c r="E18" s="15" t="s">
        <v>75</v>
      </c>
      <c r="F18" s="15">
        <v>69</v>
      </c>
      <c r="G18" s="15" t="s">
        <v>14</v>
      </c>
      <c r="H18" s="15">
        <v>70</v>
      </c>
      <c r="I18" s="16">
        <v>139</v>
      </c>
    </row>
    <row r="19" spans="1:10">
      <c r="A19" s="17" t="s">
        <v>114</v>
      </c>
      <c r="B19" s="18">
        <v>89765</v>
      </c>
      <c r="C19" s="18" t="s">
        <v>115</v>
      </c>
      <c r="D19" s="18" t="s">
        <v>118</v>
      </c>
      <c r="E19" s="18" t="s">
        <v>75</v>
      </c>
      <c r="F19" s="18">
        <v>69</v>
      </c>
      <c r="G19" s="18" t="s">
        <v>14</v>
      </c>
      <c r="H19" s="18">
        <v>70</v>
      </c>
      <c r="I19" s="19">
        <v>139</v>
      </c>
    </row>
    <row r="22" spans="1:10" ht="15">
      <c r="A22" s="2" t="s">
        <v>0</v>
      </c>
      <c r="B22" s="2" t="s">
        <v>1</v>
      </c>
      <c r="C22" s="2" t="s">
        <v>108</v>
      </c>
      <c r="D22" s="2" t="s">
        <v>3</v>
      </c>
      <c r="E22" s="2" t="s">
        <v>98</v>
      </c>
      <c r="F22" s="2" t="s">
        <v>99</v>
      </c>
      <c r="G22" s="2" t="s">
        <v>100</v>
      </c>
      <c r="H22" s="2" t="s">
        <v>101</v>
      </c>
      <c r="I22" s="1" t="s">
        <v>102</v>
      </c>
    </row>
    <row r="23" spans="1:10">
      <c r="A23" s="20" t="s">
        <v>114</v>
      </c>
      <c r="B23" s="21">
        <v>86186</v>
      </c>
      <c r="C23" s="21" t="s">
        <v>115</v>
      </c>
      <c r="D23" s="21" t="s">
        <v>116</v>
      </c>
      <c r="E23" s="21" t="s">
        <v>117</v>
      </c>
      <c r="F23" s="21">
        <v>73</v>
      </c>
      <c r="G23" s="21" t="s">
        <v>14</v>
      </c>
      <c r="H23" s="21">
        <v>70</v>
      </c>
      <c r="I23" s="22">
        <v>143</v>
      </c>
      <c r="J23" t="s">
        <v>109</v>
      </c>
    </row>
    <row r="24" spans="1:10">
      <c r="A24" s="53" t="s">
        <v>114</v>
      </c>
      <c r="B24" s="54">
        <v>86186</v>
      </c>
      <c r="C24" s="54" t="s">
        <v>115</v>
      </c>
      <c r="D24" s="54" t="s">
        <v>123</v>
      </c>
      <c r="E24" s="54" t="s">
        <v>117</v>
      </c>
      <c r="F24" s="54">
        <v>73</v>
      </c>
      <c r="G24" s="54" t="s">
        <v>14</v>
      </c>
      <c r="H24" s="54">
        <v>70</v>
      </c>
      <c r="I24" s="55">
        <v>143</v>
      </c>
    </row>
    <row r="25" spans="1:10">
      <c r="A25" s="53" t="s">
        <v>114</v>
      </c>
      <c r="B25" s="54">
        <v>86186</v>
      </c>
      <c r="C25" s="54" t="s">
        <v>115</v>
      </c>
      <c r="D25" s="54" t="s">
        <v>124</v>
      </c>
      <c r="E25" s="54" t="s">
        <v>117</v>
      </c>
      <c r="F25" s="54">
        <v>73</v>
      </c>
      <c r="G25" s="54" t="s">
        <v>14</v>
      </c>
      <c r="H25" s="54">
        <v>70</v>
      </c>
      <c r="I25" s="55">
        <v>143</v>
      </c>
    </row>
    <row r="26" spans="1:10">
      <c r="A26" s="53" t="s">
        <v>114</v>
      </c>
      <c r="B26" s="54">
        <v>86186</v>
      </c>
      <c r="C26" s="54" t="s">
        <v>115</v>
      </c>
      <c r="D26" s="54" t="s">
        <v>125</v>
      </c>
      <c r="E26" s="54" t="s">
        <v>117</v>
      </c>
      <c r="F26" s="54">
        <v>73</v>
      </c>
      <c r="G26" s="54" t="s">
        <v>14</v>
      </c>
      <c r="H26" s="54">
        <v>70</v>
      </c>
      <c r="I26" s="55">
        <v>143</v>
      </c>
    </row>
    <row r="27" spans="1:10">
      <c r="A27" s="53" t="s">
        <v>114</v>
      </c>
      <c r="B27" s="54">
        <v>86186</v>
      </c>
      <c r="C27" s="54" t="s">
        <v>115</v>
      </c>
      <c r="D27" s="54" t="s">
        <v>118</v>
      </c>
      <c r="E27" s="54" t="s">
        <v>117</v>
      </c>
      <c r="F27" s="54">
        <v>73</v>
      </c>
      <c r="G27" s="54" t="s">
        <v>14</v>
      </c>
      <c r="H27" s="54">
        <v>70</v>
      </c>
      <c r="I27" s="55">
        <v>143</v>
      </c>
    </row>
    <row r="28" spans="1:10">
      <c r="A28" s="56" t="s">
        <v>114</v>
      </c>
      <c r="B28" s="57">
        <v>86186</v>
      </c>
      <c r="C28" s="57" t="s">
        <v>115</v>
      </c>
      <c r="D28" s="57" t="s">
        <v>126</v>
      </c>
      <c r="E28" s="57" t="s">
        <v>127</v>
      </c>
      <c r="F28" s="57">
        <v>73</v>
      </c>
      <c r="G28" s="57" t="s">
        <v>14</v>
      </c>
      <c r="H28" s="57">
        <v>70</v>
      </c>
      <c r="I28" s="58">
        <v>143</v>
      </c>
    </row>
    <row r="29" spans="1:10">
      <c r="A29" s="11" t="s">
        <v>114</v>
      </c>
      <c r="B29" s="12">
        <v>87223</v>
      </c>
      <c r="C29" s="12" t="s">
        <v>115</v>
      </c>
      <c r="D29" s="12" t="s">
        <v>118</v>
      </c>
      <c r="E29" s="12" t="s">
        <v>117</v>
      </c>
      <c r="F29" s="12">
        <v>69</v>
      </c>
      <c r="G29" s="12" t="s">
        <v>75</v>
      </c>
      <c r="H29" s="12">
        <v>73</v>
      </c>
      <c r="I29" s="13">
        <v>142</v>
      </c>
      <c r="J29" t="s">
        <v>109</v>
      </c>
    </row>
    <row r="30" spans="1:10">
      <c r="A30" s="23" t="s">
        <v>114</v>
      </c>
      <c r="B30" s="24">
        <v>87223</v>
      </c>
      <c r="C30" s="24" t="s">
        <v>115</v>
      </c>
      <c r="D30" s="24" t="s">
        <v>126</v>
      </c>
      <c r="E30" s="24" t="s">
        <v>127</v>
      </c>
      <c r="F30" s="24">
        <v>69</v>
      </c>
      <c r="G30" s="24" t="s">
        <v>75</v>
      </c>
      <c r="H30" s="24">
        <v>73</v>
      </c>
      <c r="I30" s="25">
        <v>142</v>
      </c>
    </row>
    <row r="31" spans="1:10">
      <c r="A31" s="23" t="s">
        <v>114</v>
      </c>
      <c r="B31" s="24">
        <v>87223</v>
      </c>
      <c r="C31" s="24" t="s">
        <v>115</v>
      </c>
      <c r="D31" s="24" t="s">
        <v>116</v>
      </c>
      <c r="E31" s="24" t="s">
        <v>117</v>
      </c>
      <c r="F31" s="24">
        <v>69</v>
      </c>
      <c r="G31" s="24" t="s">
        <v>75</v>
      </c>
      <c r="H31" s="24">
        <v>73</v>
      </c>
      <c r="I31" s="25">
        <v>142</v>
      </c>
    </row>
    <row r="32" spans="1:10">
      <c r="A32" s="23" t="s">
        <v>114</v>
      </c>
      <c r="B32" s="24">
        <v>87223</v>
      </c>
      <c r="C32" s="24" t="s">
        <v>115</v>
      </c>
      <c r="D32" s="24" t="s">
        <v>125</v>
      </c>
      <c r="E32" s="24" t="s">
        <v>117</v>
      </c>
      <c r="F32" s="24">
        <v>69</v>
      </c>
      <c r="G32" s="24" t="s">
        <v>75</v>
      </c>
      <c r="H32" s="24">
        <v>73</v>
      </c>
      <c r="I32" s="25">
        <v>142</v>
      </c>
    </row>
    <row r="33" spans="1:10">
      <c r="A33" s="23" t="s">
        <v>114</v>
      </c>
      <c r="B33" s="24">
        <v>87223</v>
      </c>
      <c r="C33" s="24" t="s">
        <v>115</v>
      </c>
      <c r="D33" s="24" t="s">
        <v>123</v>
      </c>
      <c r="E33" s="24" t="s">
        <v>117</v>
      </c>
      <c r="F33" s="24">
        <v>69</v>
      </c>
      <c r="G33" s="24" t="s">
        <v>75</v>
      </c>
      <c r="H33" s="24">
        <v>73</v>
      </c>
      <c r="I33" s="25">
        <v>142</v>
      </c>
    </row>
    <row r="34" spans="1:10">
      <c r="A34" s="23" t="s">
        <v>114</v>
      </c>
      <c r="B34" s="24">
        <v>87223</v>
      </c>
      <c r="C34" s="24" t="s">
        <v>115</v>
      </c>
      <c r="D34" s="24" t="s">
        <v>124</v>
      </c>
      <c r="E34" s="24" t="s">
        <v>117</v>
      </c>
      <c r="F34" s="24">
        <v>69</v>
      </c>
      <c r="G34" s="24" t="s">
        <v>75</v>
      </c>
      <c r="H34" s="24">
        <v>73</v>
      </c>
      <c r="I34" s="25">
        <v>142</v>
      </c>
    </row>
    <row r="35" spans="1:10">
      <c r="A35" s="14" t="s">
        <v>114</v>
      </c>
      <c r="B35" s="15">
        <v>89765</v>
      </c>
      <c r="C35" s="15" t="s">
        <v>115</v>
      </c>
      <c r="D35" s="15" t="s">
        <v>126</v>
      </c>
      <c r="E35" s="15" t="s">
        <v>128</v>
      </c>
      <c r="F35" s="15">
        <v>69</v>
      </c>
      <c r="G35" s="15" t="s">
        <v>14</v>
      </c>
      <c r="H35" s="15">
        <v>70</v>
      </c>
      <c r="I35" s="16">
        <v>139</v>
      </c>
      <c r="J35" t="s">
        <v>109</v>
      </c>
    </row>
    <row r="36" spans="1:10">
      <c r="A36" s="26" t="s">
        <v>114</v>
      </c>
      <c r="B36" s="27">
        <v>89765</v>
      </c>
      <c r="C36" s="27" t="s">
        <v>115</v>
      </c>
      <c r="D36" s="27" t="s">
        <v>116</v>
      </c>
      <c r="E36" s="27" t="s">
        <v>75</v>
      </c>
      <c r="F36" s="27">
        <v>69</v>
      </c>
      <c r="G36" s="27" t="s">
        <v>14</v>
      </c>
      <c r="H36" s="27">
        <v>70</v>
      </c>
      <c r="I36" s="28">
        <v>139</v>
      </c>
    </row>
    <row r="37" spans="1:10">
      <c r="A37" s="26" t="s">
        <v>114</v>
      </c>
      <c r="B37" s="27">
        <v>89765</v>
      </c>
      <c r="C37" s="27" t="s">
        <v>115</v>
      </c>
      <c r="D37" s="27" t="s">
        <v>123</v>
      </c>
      <c r="E37" s="27" t="s">
        <v>75</v>
      </c>
      <c r="F37" s="27">
        <v>69</v>
      </c>
      <c r="G37" s="27" t="s">
        <v>14</v>
      </c>
      <c r="H37" s="27">
        <v>70</v>
      </c>
      <c r="I37" s="28">
        <v>139</v>
      </c>
    </row>
    <row r="38" spans="1:10">
      <c r="A38" s="26" t="s">
        <v>114</v>
      </c>
      <c r="B38" s="27">
        <v>89765</v>
      </c>
      <c r="C38" s="27" t="s">
        <v>115</v>
      </c>
      <c r="D38" s="27" t="s">
        <v>124</v>
      </c>
      <c r="E38" s="27" t="s">
        <v>75</v>
      </c>
      <c r="F38" s="27">
        <v>69</v>
      </c>
      <c r="G38" s="27" t="s">
        <v>14</v>
      </c>
      <c r="H38" s="27">
        <v>70</v>
      </c>
      <c r="I38" s="28">
        <v>139</v>
      </c>
    </row>
    <row r="39" spans="1:10">
      <c r="A39" s="26" t="s">
        <v>114</v>
      </c>
      <c r="B39" s="27">
        <v>89765</v>
      </c>
      <c r="C39" s="27" t="s">
        <v>115</v>
      </c>
      <c r="D39" s="27" t="s">
        <v>125</v>
      </c>
      <c r="E39" s="27" t="s">
        <v>75</v>
      </c>
      <c r="F39" s="27">
        <v>69</v>
      </c>
      <c r="G39" s="27" t="s">
        <v>14</v>
      </c>
      <c r="H39" s="27">
        <v>70</v>
      </c>
      <c r="I39" s="28">
        <v>139</v>
      </c>
    </row>
    <row r="40" spans="1:10">
      <c r="A40" s="29" t="s">
        <v>114</v>
      </c>
      <c r="B40" s="30">
        <v>89765</v>
      </c>
      <c r="C40" s="30" t="s">
        <v>115</v>
      </c>
      <c r="D40" s="30" t="s">
        <v>118</v>
      </c>
      <c r="E40" s="30" t="s">
        <v>75</v>
      </c>
      <c r="F40" s="30">
        <v>69</v>
      </c>
      <c r="G40" s="30" t="s">
        <v>14</v>
      </c>
      <c r="H40" s="30">
        <v>70</v>
      </c>
      <c r="I40" s="31">
        <v>139</v>
      </c>
    </row>
    <row r="43" spans="1:10" ht="15">
      <c r="A43" s="2" t="s">
        <v>0</v>
      </c>
      <c r="B43" s="2" t="s">
        <v>1</v>
      </c>
      <c r="C43" s="2" t="s">
        <v>108</v>
      </c>
      <c r="D43" s="2" t="s">
        <v>3</v>
      </c>
      <c r="E43" s="2" t="s">
        <v>98</v>
      </c>
      <c r="F43" s="2" t="s">
        <v>99</v>
      </c>
      <c r="G43" s="2" t="s">
        <v>100</v>
      </c>
      <c r="H43" s="2" t="s">
        <v>101</v>
      </c>
      <c r="I43" s="1"/>
    </row>
    <row r="44" spans="1:10">
      <c r="A44" s="20" t="s">
        <v>114</v>
      </c>
      <c r="B44" s="21">
        <v>86186</v>
      </c>
      <c r="C44" s="21" t="s">
        <v>115</v>
      </c>
      <c r="D44" s="21" t="s">
        <v>113</v>
      </c>
      <c r="E44" s="62" t="s">
        <v>117</v>
      </c>
      <c r="F44" s="62">
        <v>73</v>
      </c>
      <c r="G44" s="60" t="s">
        <v>14</v>
      </c>
      <c r="H44" s="61">
        <v>70</v>
      </c>
    </row>
    <row r="45" spans="1:10">
      <c r="A45" s="11" t="s">
        <v>114</v>
      </c>
      <c r="B45" s="12">
        <v>87223</v>
      </c>
      <c r="C45" s="12" t="s">
        <v>115</v>
      </c>
      <c r="D45" s="12" t="s">
        <v>113</v>
      </c>
      <c r="E45" s="64" t="s">
        <v>117</v>
      </c>
      <c r="F45" s="64">
        <v>69</v>
      </c>
      <c r="G45" s="32" t="s">
        <v>75</v>
      </c>
      <c r="H45" s="59">
        <v>73</v>
      </c>
    </row>
    <row r="46" spans="1:10">
      <c r="A46" s="17" t="s">
        <v>114</v>
      </c>
      <c r="B46" s="18">
        <v>89765</v>
      </c>
      <c r="C46" s="18" t="s">
        <v>115</v>
      </c>
      <c r="D46" s="18" t="s">
        <v>113</v>
      </c>
      <c r="E46" s="63" t="s">
        <v>75</v>
      </c>
      <c r="F46" s="63">
        <v>69</v>
      </c>
      <c r="G46" s="41" t="s">
        <v>14</v>
      </c>
      <c r="H46" s="47">
        <v>70</v>
      </c>
    </row>
    <row r="49" spans="1:8" ht="15">
      <c r="A49" s="2" t="s">
        <v>0</v>
      </c>
      <c r="B49" s="2" t="s">
        <v>1</v>
      </c>
      <c r="C49" s="2" t="s">
        <v>108</v>
      </c>
      <c r="D49" s="2" t="s">
        <v>3</v>
      </c>
      <c r="E49" s="2" t="s">
        <v>132</v>
      </c>
      <c r="F49" s="2" t="s">
        <v>97</v>
      </c>
      <c r="G49" s="2" t="s">
        <v>5</v>
      </c>
    </row>
    <row r="50" spans="1:8">
      <c r="A50" s="38" t="s">
        <v>114</v>
      </c>
      <c r="B50" s="38">
        <v>86186</v>
      </c>
      <c r="C50" s="38" t="s">
        <v>115</v>
      </c>
      <c r="D50" s="38" t="s">
        <v>113</v>
      </c>
      <c r="E50" s="38" t="s">
        <v>130</v>
      </c>
      <c r="F50" s="38" t="s">
        <v>117</v>
      </c>
      <c r="G50" s="38">
        <v>73</v>
      </c>
      <c r="H50" t="s">
        <v>109</v>
      </c>
    </row>
    <row r="51" spans="1:8">
      <c r="A51" s="38" t="s">
        <v>114</v>
      </c>
      <c r="B51" s="38">
        <v>86186</v>
      </c>
      <c r="C51" s="38" t="s">
        <v>115</v>
      </c>
      <c r="D51" s="38" t="s">
        <v>113</v>
      </c>
      <c r="E51" s="38" t="s">
        <v>131</v>
      </c>
      <c r="F51" s="38" t="s">
        <v>14</v>
      </c>
      <c r="G51" s="38">
        <v>70</v>
      </c>
      <c r="H51" t="s">
        <v>109</v>
      </c>
    </row>
    <row r="52" spans="1:8">
      <c r="A52" s="24" t="s">
        <v>114</v>
      </c>
      <c r="B52" s="24">
        <v>87223</v>
      </c>
      <c r="C52" s="24" t="s">
        <v>115</v>
      </c>
      <c r="D52" s="24" t="s">
        <v>113</v>
      </c>
      <c r="E52" s="24" t="s">
        <v>130</v>
      </c>
      <c r="F52" s="24" t="s">
        <v>117</v>
      </c>
      <c r="G52" s="24">
        <v>69</v>
      </c>
    </row>
    <row r="53" spans="1:8">
      <c r="A53" s="12" t="s">
        <v>114</v>
      </c>
      <c r="B53" s="12">
        <v>87223</v>
      </c>
      <c r="C53" s="12" t="s">
        <v>115</v>
      </c>
      <c r="D53" s="12" t="s">
        <v>113</v>
      </c>
      <c r="E53" s="12" t="s">
        <v>131</v>
      </c>
      <c r="F53" s="12" t="s">
        <v>75</v>
      </c>
      <c r="G53" s="12">
        <v>73</v>
      </c>
      <c r="H53" t="s">
        <v>109</v>
      </c>
    </row>
    <row r="54" spans="1:8">
      <c r="A54" s="27" t="s">
        <v>114</v>
      </c>
      <c r="B54" s="27">
        <v>89765</v>
      </c>
      <c r="C54" s="27" t="s">
        <v>115</v>
      </c>
      <c r="D54" s="27" t="s">
        <v>113</v>
      </c>
      <c r="E54" s="27" t="s">
        <v>130</v>
      </c>
      <c r="F54" s="27" t="s">
        <v>75</v>
      </c>
      <c r="G54" s="27">
        <v>69</v>
      </c>
    </row>
    <row r="55" spans="1:8">
      <c r="A55" s="27" t="s">
        <v>114</v>
      </c>
      <c r="B55" s="27">
        <v>89765</v>
      </c>
      <c r="C55" s="27" t="s">
        <v>115</v>
      </c>
      <c r="D55" s="27" t="s">
        <v>113</v>
      </c>
      <c r="E55" s="27" t="s">
        <v>131</v>
      </c>
      <c r="F55" s="27" t="s">
        <v>14</v>
      </c>
      <c r="G55" s="27">
        <v>70</v>
      </c>
    </row>
    <row r="58" spans="1:8" ht="15">
      <c r="A58" s="2" t="s">
        <v>0</v>
      </c>
      <c r="B58" s="2" t="s">
        <v>1</v>
      </c>
      <c r="C58" s="2" t="s">
        <v>108</v>
      </c>
      <c r="D58" s="2" t="s">
        <v>3</v>
      </c>
      <c r="E58" s="2" t="s">
        <v>132</v>
      </c>
      <c r="F58" s="2" t="s">
        <v>97</v>
      </c>
      <c r="G58" s="2" t="s">
        <v>5</v>
      </c>
    </row>
    <row r="59" spans="1:8" ht="15">
      <c r="A59" t="s">
        <v>114</v>
      </c>
      <c r="B59">
        <v>86186</v>
      </c>
      <c r="C59" t="s">
        <v>115</v>
      </c>
      <c r="D59" t="s">
        <v>113</v>
      </c>
      <c r="E59" t="s">
        <v>113</v>
      </c>
      <c r="F59" t="s">
        <v>117</v>
      </c>
      <c r="G59">
        <v>73</v>
      </c>
      <c r="H59" s="1"/>
    </row>
    <row r="60" spans="1:8">
      <c r="A60" t="s">
        <v>114</v>
      </c>
      <c r="B60">
        <v>86186</v>
      </c>
      <c r="C60" t="s">
        <v>115</v>
      </c>
      <c r="D60" t="s">
        <v>113</v>
      </c>
      <c r="E60" t="s">
        <v>113</v>
      </c>
      <c r="F60" t="s">
        <v>14</v>
      </c>
      <c r="G60">
        <v>70</v>
      </c>
    </row>
    <row r="61" spans="1:8">
      <c r="A61" t="s">
        <v>114</v>
      </c>
      <c r="B61">
        <v>87223</v>
      </c>
      <c r="C61" t="s">
        <v>115</v>
      </c>
      <c r="D61" t="s">
        <v>113</v>
      </c>
      <c r="E61" t="s">
        <v>113</v>
      </c>
      <c r="F61" t="s">
        <v>75</v>
      </c>
      <c r="G61">
        <v>73</v>
      </c>
    </row>
    <row r="62" spans="1:8">
      <c r="A62" s="65"/>
      <c r="B62" s="65"/>
      <c r="C62" s="65"/>
      <c r="D62" s="65"/>
      <c r="E62" s="65"/>
      <c r="F62" s="65"/>
      <c r="G62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Whole numbers_full_contrast</vt:lpstr>
      <vt:lpstr>WN full2</vt:lpstr>
      <vt:lpstr>RN full2</vt:lpstr>
      <vt:lpstr>Whole numbers_d</vt:lpstr>
      <vt:lpstr>Whole_numbers_ex</vt:lpstr>
      <vt:lpstr>Rational numbers_full_contrast</vt:lpstr>
      <vt:lpstr>Rational numbers_ex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Morgan</dc:creator>
  <cp:lastModifiedBy>Seth Morgan</cp:lastModifiedBy>
  <dcterms:created xsi:type="dcterms:W3CDTF">2025-11-18T15:37:19Z</dcterms:created>
  <dcterms:modified xsi:type="dcterms:W3CDTF">2025-11-20T18:50:08Z</dcterms:modified>
</cp:coreProperties>
</file>